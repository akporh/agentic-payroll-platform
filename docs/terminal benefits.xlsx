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3500" windowHeight="15760" tabRatio="600" firstSheet="0" activeTab="0" autoFilterDateGrouping="1"/>
  </bookViews>
  <sheets>
    <sheet name="In lieu &amp; severance claculation" sheetId="1" state="visible" r:id="rId1"/>
    <sheet name="Leave Encashment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₦#,##0.00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sz val="10"/>
    </font>
    <font>
      <name val="Aptos Narrow"/>
      <family val="2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375623"/>
      </patternFill>
    </fill>
    <fill>
      <patternFill patternType="solid">
        <fgColor rgb="00FFC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43" fontId="1" fillId="0" borderId="0"/>
  </cellStyleXfs>
  <cellXfs count="6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1"/>
    <xf numFmtId="0" fontId="3" fillId="0" borderId="0" pivotButton="0" quotePrefix="0" xfId="2"/>
    <xf numFmtId="43" fontId="2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0" borderId="2" applyAlignment="1" pivotButton="0" quotePrefix="0" xfId="0">
      <alignment wrapText="1"/>
    </xf>
    <xf numFmtId="0" fontId="3" fillId="0" borderId="0" pivotButton="0" quotePrefix="0" xfId="0"/>
    <xf numFmtId="0" fontId="3" fillId="0" borderId="3" pivotButton="0" quotePrefix="0" xfId="0"/>
    <xf numFmtId="0" fontId="3" fillId="0" borderId="3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2" borderId="1" pivotButton="0" quotePrefix="0" xfId="0"/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3" applyAlignment="1" pivotButton="0" quotePrefix="0" xfId="1">
      <alignment horizontal="left"/>
    </xf>
    <xf numFmtId="15" fontId="2" fillId="0" borderId="3" applyAlignment="1" pivotButton="0" quotePrefix="0" xfId="1">
      <alignment horizontal="left"/>
    </xf>
    <xf numFmtId="0" fontId="2" fillId="0" borderId="3" pivotButton="0" quotePrefix="0" xfId="0"/>
    <xf numFmtId="2" fontId="2" fillId="0" borderId="3" pivotButton="0" quotePrefix="0" xfId="0"/>
    <xf numFmtId="0" fontId="2" fillId="2" borderId="1" applyAlignment="1" pivotButton="0" quotePrefix="0" xfId="4">
      <alignment horizontal="center"/>
    </xf>
    <xf numFmtId="0" fontId="2" fillId="2" borderId="1" pivotButton="0" quotePrefix="0" xfId="4"/>
    <xf numFmtId="0" fontId="2" fillId="2" borderId="1" pivotButton="0" quotePrefix="0" xfId="0"/>
    <xf numFmtId="2" fontId="2" fillId="0" borderId="3" applyAlignment="1" pivotButton="0" quotePrefix="0" xfId="1">
      <alignment horizontal="left"/>
    </xf>
    <xf numFmtId="43" fontId="2" fillId="0" borderId="3" applyAlignment="1" pivotButton="0" quotePrefix="0" xfId="5">
      <alignment horizontal="right"/>
    </xf>
    <xf numFmtId="0" fontId="2" fillId="0" borderId="1" applyAlignment="1" pivotButton="0" quotePrefix="0" xfId="1">
      <alignment horizontal="left"/>
    </xf>
    <xf numFmtId="15" fontId="2" fillId="0" borderId="1" applyAlignment="1" pivotButton="0" quotePrefix="0" xfId="1">
      <alignment horizontal="left"/>
    </xf>
    <xf numFmtId="0" fontId="2" fillId="2" borderId="1" applyAlignment="1" pivotButton="0" quotePrefix="0" xfId="2">
      <alignment horizontal="center"/>
    </xf>
    <xf numFmtId="0" fontId="2" fillId="2" borderId="1" applyAlignment="1" pivotButton="0" quotePrefix="0" xfId="2">
      <alignment horizontal="left"/>
    </xf>
    <xf numFmtId="43" fontId="2" fillId="0" borderId="1" applyAlignment="1" pivotButton="0" quotePrefix="0" xfId="5">
      <alignment horizontal="right"/>
    </xf>
    <xf numFmtId="15" fontId="2" fillId="0" borderId="1" applyAlignment="1" pivotButton="0" quotePrefix="0" xfId="2">
      <alignment horizontal="left"/>
    </xf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4" fontId="2" fillId="0" borderId="1" pivotButton="0" quotePrefix="0" xfId="1"/>
    <xf numFmtId="0" fontId="5" fillId="0" borderId="0" pivotButton="0" quotePrefix="0" xfId="0"/>
    <xf numFmtId="0" fontId="2" fillId="0" borderId="1" applyAlignment="1" pivotButton="0" quotePrefix="0" xfId="2">
      <alignment horizontal="left"/>
    </xf>
    <xf numFmtId="2" fontId="2" fillId="0" borderId="1" pivotButton="0" quotePrefix="0" xfId="0"/>
    <xf numFmtId="2" fontId="2" fillId="0" borderId="1" applyAlignment="1" pivotButton="0" quotePrefix="0" xfId="1">
      <alignment horizontal="left"/>
    </xf>
    <xf numFmtId="43" fontId="2" fillId="0" borderId="1" pivotButton="0" quotePrefix="0" xfId="0"/>
    <xf numFmtId="43" fontId="2" fillId="0" borderId="3" pivotButton="0" quotePrefix="0" xfId="0"/>
    <xf numFmtId="2" fontId="0" fillId="0" borderId="0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0" borderId="2" pivotButton="0" quotePrefix="0" xfId="0"/>
    <xf numFmtId="0" fontId="1" fillId="0" borderId="6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0" fillId="3" borderId="7" pivotButton="0" quotePrefix="0" xfId="0"/>
    <xf numFmtId="0" fontId="2" fillId="0" borderId="3" applyAlignment="1" pivotButton="0" quotePrefix="0" xfId="0">
      <alignment horizontal="left"/>
    </xf>
    <xf numFmtId="15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left"/>
    </xf>
    <xf numFmtId="43" fontId="2" fillId="0" borderId="3" applyAlignment="1" pivotButton="0" quotePrefix="0" xfId="0">
      <alignment horizontal="right"/>
    </xf>
    <xf numFmtId="165" fontId="7" fillId="0" borderId="7" applyAlignment="1" pivotButton="0" quotePrefix="0" xfId="0">
      <alignment horizontal="center"/>
    </xf>
    <xf numFmtId="1" fontId="7" fillId="0" borderId="7" applyAlignment="1" pivotButton="0" quotePrefix="0" xfId="0">
      <alignment horizontal="center"/>
    </xf>
    <xf numFmtId="4" fontId="7" fillId="0" borderId="7" applyAlignment="1" pivotButton="0" quotePrefix="0" xfId="0">
      <alignment horizontal="center"/>
    </xf>
    <xf numFmtId="166" fontId="7" fillId="0" borderId="7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43" fontId="2" fillId="0" borderId="1" applyAlignment="1" pivotButton="0" quotePrefix="0" xfId="0">
      <alignment horizontal="right"/>
    </xf>
    <xf numFmtId="4" fontId="2" fillId="0" borderId="1" pivotButton="0" quotePrefix="0" xfId="0"/>
    <xf numFmtId="2" fontId="2" fillId="0" borderId="1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166" fontId="9" fillId="4" borderId="7" applyAlignment="1" pivotButton="0" quotePrefix="0" xfId="0">
      <alignment horizontal="center"/>
    </xf>
  </cellXfs>
  <cellStyles count="6">
    <cellStyle name="Normal" xfId="0" builtinId="0"/>
    <cellStyle name="Normal 3 10 2 2 2 2 2" xfId="1"/>
    <cellStyle name="Normal 2" xfId="2"/>
    <cellStyle name="Normal 3 11 2" xfId="3"/>
    <cellStyle name="Normal 3 11 2 2 3 2" xfId="4"/>
    <cellStyle name="Comma 147 2 2 2 3" xfId="5"/>
  </cellStyles>
  <dxfs count="1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tabSelected="1" topLeftCell="Q1" zoomScale="130" zoomScaleNormal="130" workbookViewId="0">
      <selection activeCell="V3" sqref="V3"/>
    </sheetView>
  </sheetViews>
  <sheetFormatPr baseColWidth="10" defaultColWidth="9.1640625" defaultRowHeight="15"/>
  <cols>
    <col width="15.33203125" customWidth="1" min="2" max="2"/>
    <col width="18.5" customWidth="1" min="3" max="3"/>
    <col width="26.83203125" customWidth="1" min="4" max="4"/>
    <col width="18.83203125" customWidth="1" min="5" max="5"/>
    <col width="20.1640625" customWidth="1" min="6" max="6"/>
    <col width="18.83203125" customWidth="1" min="7" max="7"/>
    <col width="7.33203125" customWidth="1" min="8" max="8"/>
    <col width="5.83203125" customWidth="1" min="9" max="9"/>
    <col width="7.83203125" customWidth="1" min="10" max="10"/>
    <col width="6.1640625" customWidth="1" min="11" max="11"/>
    <col width="7.5" customWidth="1" min="12" max="12"/>
    <col width="5.83203125" customWidth="1" min="13" max="13"/>
    <col width="7" customWidth="1" min="14" max="14"/>
    <col width="6.1640625" customWidth="1" min="15" max="15"/>
    <col width="8.6640625" customWidth="1" min="16" max="16"/>
    <col width="6.1640625" customWidth="1" min="17" max="17"/>
    <col width="7.33203125" customWidth="1" min="18" max="18"/>
    <col width="6.1640625" customWidth="1" min="19" max="19"/>
    <col width="10.1640625" customWidth="1" min="20" max="20"/>
    <col width="24.5" customWidth="1" style="37" min="21" max="21"/>
    <col width="16.5" customWidth="1" min="22" max="23"/>
    <col width="15.33203125" customWidth="1" min="24" max="24"/>
    <col width="2.5" customWidth="1" min="25" max="25"/>
    <col width="17.5" customWidth="1" min="26" max="26"/>
    <col width="16.33203125" customWidth="1" min="27" max="27"/>
    <col width="20.1640625" customWidth="1" min="28" max="28"/>
    <col width="21.83203125" customWidth="1" min="29" max="29"/>
    <col width="18.1640625" customWidth="1" min="30" max="30"/>
    <col width="21.5" customWidth="1" min="31" max="31"/>
    <col width="22.83203125" customWidth="1" min="32" max="35"/>
    <col width="21.5" customWidth="1" min="36" max="36"/>
    <col width="15.33203125" customWidth="1" min="37" max="38"/>
    <col width="11.6640625" customWidth="1" min="39" max="40"/>
    <col width="2.5" customWidth="1" min="41" max="41"/>
    <col width="10.33203125" customWidth="1" min="42" max="42"/>
    <col width="12.1640625" bestFit="1" customWidth="1" min="43" max="43"/>
    <col width="12.6640625" bestFit="1" customWidth="1" min="44" max="44"/>
    <col width="2.5" customWidth="1" min="45" max="45"/>
  </cols>
  <sheetData>
    <row r="1">
      <c r="A1" s="1" t="n"/>
      <c r="B1" s="2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2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3" t="n"/>
      <c r="C3" s="2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4" t="n"/>
      <c r="V3" s="1" t="n"/>
      <c r="W3" s="1" t="n"/>
      <c r="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17.25" customHeight="1">
      <c r="A5" s="1" t="n"/>
      <c r="B5" s="1" t="n"/>
      <c r="C5" s="1" t="n"/>
      <c r="D5" s="1" t="n"/>
      <c r="E5" s="1" t="n"/>
      <c r="F5" s="1" t="n"/>
      <c r="G5" s="1" t="n"/>
      <c r="H5" s="17" t="inlineStr">
        <is>
          <t>Leave days</t>
        </is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5" t="n"/>
      <c r="W5" s="6" t="n"/>
      <c r="X5" s="1" t="n"/>
    </row>
    <row r="6" ht="45.75" customHeight="1">
      <c r="A6" s="7" t="inlineStr">
        <is>
          <t>S/N</t>
        </is>
      </c>
      <c r="B6" s="7" t="inlineStr">
        <is>
          <t>ID</t>
        </is>
      </c>
      <c r="C6" s="7" t="inlineStr">
        <is>
          <t>Employment date</t>
        </is>
      </c>
      <c r="D6" s="7" t="inlineStr">
        <is>
          <t xml:space="preserve"> Date of Disengagement</t>
        </is>
      </c>
      <c r="E6" s="8" t="inlineStr">
        <is>
          <t>Total months of service</t>
        </is>
      </c>
      <c r="F6" s="8" t="n"/>
      <c r="G6" s="8" t="inlineStr">
        <is>
          <t>Total years of service</t>
        </is>
      </c>
      <c r="H6" s="9" t="inlineStr">
        <is>
          <t>Leave days used/taken</t>
        </is>
      </c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5" t="n"/>
      <c r="U6" s="10" t="n"/>
      <c r="V6" s="10" t="n"/>
      <c r="W6" s="10" t="n"/>
      <c r="X6" s="8" t="inlineStr">
        <is>
          <t>Basic salary</t>
        </is>
      </c>
    </row>
    <row r="7" ht="35.25" customHeight="1">
      <c r="A7" s="11" t="n"/>
      <c r="B7" s="12" t="n"/>
      <c r="C7" s="12" t="n"/>
      <c r="D7" s="12" t="n"/>
      <c r="E7" s="13" t="n"/>
      <c r="F7" s="13" t="n"/>
      <c r="G7" s="13" t="n"/>
      <c r="H7" s="14" t="inlineStr">
        <is>
          <t>JAN</t>
        </is>
      </c>
      <c r="I7" s="15" t="inlineStr">
        <is>
          <t>FEB</t>
        </is>
      </c>
      <c r="J7" s="14" t="inlineStr">
        <is>
          <t>MAR</t>
        </is>
      </c>
      <c r="K7" s="15" t="inlineStr">
        <is>
          <t>APR</t>
        </is>
      </c>
      <c r="L7" s="14" t="inlineStr">
        <is>
          <t>MAY</t>
        </is>
      </c>
      <c r="M7" s="15" t="inlineStr">
        <is>
          <t>JUN</t>
        </is>
      </c>
      <c r="N7" s="14" t="inlineStr">
        <is>
          <t>JUL</t>
        </is>
      </c>
      <c r="O7" s="15" t="inlineStr">
        <is>
          <t>AUG</t>
        </is>
      </c>
      <c r="P7" s="14" t="inlineStr">
        <is>
          <t>SEPT</t>
        </is>
      </c>
      <c r="Q7" s="15" t="inlineStr">
        <is>
          <t>OCT</t>
        </is>
      </c>
      <c r="R7" s="14" t="inlineStr">
        <is>
          <t>NOV</t>
        </is>
      </c>
      <c r="S7" s="15" t="inlineStr">
        <is>
          <t>DEC</t>
        </is>
      </c>
      <c r="T7" s="16" t="inlineStr">
        <is>
          <t>TOTAL</t>
        </is>
      </c>
      <c r="U7" s="17" t="inlineStr">
        <is>
          <t xml:space="preserve">REMARKS </t>
        </is>
      </c>
      <c r="V7" s="13" t="inlineStr">
        <is>
          <t>Leave days remaining</t>
        </is>
      </c>
      <c r="W7" s="13" t="inlineStr">
        <is>
          <t>Leave hours remaining</t>
        </is>
      </c>
      <c r="X7" s="13" t="n"/>
    </row>
    <row r="8">
      <c r="A8" s="18" t="n">
        <v>1</v>
      </c>
      <c r="B8" s="19" t="n">
        <v>12430</v>
      </c>
      <c r="C8" s="20" t="n">
        <v>40910</v>
      </c>
      <c r="D8" s="20" t="n">
        <v>46171</v>
      </c>
      <c r="E8" s="18">
        <f>D8-C8</f>
        <v/>
      </c>
      <c r="F8" s="21">
        <f>DATEDIF(C8, D8, "y") &amp; " years, " &amp; DATEDIF(C8, D8, "ym") &amp; " months, " &amp; DATEDIF(C8, D8, "md") &amp; " days"</f>
        <v/>
      </c>
      <c r="G8" s="22">
        <f>DATEDIF(C8,D8,"Y") + DATEDIF(C8,D8,"YM")/12 + DATEDIF(C8,D8,"MD")/30/12</f>
        <v/>
      </c>
      <c r="H8" s="23" t="n"/>
      <c r="I8" s="24" t="n">
        <v>8</v>
      </c>
      <c r="J8" s="25" t="n">
        <v>7</v>
      </c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16">
        <f>SUM(H8:S8)</f>
        <v/>
      </c>
      <c r="U8" s="18" t="inlineStr">
        <is>
          <t xml:space="preserve"> 0 days left for the year</t>
        </is>
      </c>
      <c r="V8" s="26">
        <f>15-T8</f>
        <v/>
      </c>
      <c r="W8" s="26">
        <f>V8*8</f>
        <v/>
      </c>
      <c r="X8" s="27" t="n">
        <v>36411.04</v>
      </c>
    </row>
    <row r="9">
      <c r="A9" s="18" t="n">
        <v>2</v>
      </c>
      <c r="B9" s="28" t="n">
        <v>12016</v>
      </c>
      <c r="C9" s="29" t="n">
        <v>40910</v>
      </c>
      <c r="D9" s="20" t="n">
        <v>46171</v>
      </c>
      <c r="E9" s="18">
        <f>D9-C9</f>
        <v/>
      </c>
      <c r="F9" s="21">
        <f>DATEDIF(C9, D9, "y") &amp; " years, " &amp; DATEDIF(C9, D9, "ym") &amp; " months, " &amp; DATEDIF(C9, D9, "md") &amp; " days"</f>
        <v/>
      </c>
      <c r="G9" s="22">
        <f>DATEDIF(C9,D9,"Y") + DATEDIF(C9,D9,"YM")/12 + DATEDIF(C9,D9,"MD")/30/12</f>
        <v/>
      </c>
      <c r="H9" s="30" t="n"/>
      <c r="I9" s="31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16">
        <f>SUM(H9:S9)</f>
        <v/>
      </c>
      <c r="U9" s="18" t="inlineStr">
        <is>
          <t>15 days left for the year</t>
        </is>
      </c>
      <c r="V9" s="26">
        <f>15-T9</f>
        <v/>
      </c>
      <c r="W9" s="26">
        <f>V9*8</f>
        <v/>
      </c>
      <c r="X9" s="32" t="n">
        <v>36411.04</v>
      </c>
    </row>
    <row r="10">
      <c r="A10" s="18" t="n">
        <v>3</v>
      </c>
      <c r="B10" s="28" t="n">
        <v>12017</v>
      </c>
      <c r="C10" s="29" t="n">
        <v>40910</v>
      </c>
      <c r="D10" s="20" t="n">
        <v>46171</v>
      </c>
      <c r="E10" s="18">
        <f>D10-C10</f>
        <v/>
      </c>
      <c r="F10" s="21">
        <f>DATEDIF(C10, D10, "y") &amp; " years, " &amp; DATEDIF(C10, D10, "ym") &amp; " months, " &amp; DATEDIF(C10, D10, "md") &amp; " days"</f>
        <v/>
      </c>
      <c r="G10" s="22">
        <f>DATEDIF(C10,D10,"Y") + DATEDIF(C10,D10,"YM")/12 + DATEDIF(C10,D10,"MD")/30/12</f>
        <v/>
      </c>
      <c r="H10" s="30" t="n"/>
      <c r="I10" s="31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16">
        <f>SUM(H10:S10)</f>
        <v/>
      </c>
      <c r="U10" s="18" t="inlineStr">
        <is>
          <t>15 days left for the year</t>
        </is>
      </c>
      <c r="V10" s="26">
        <f>15-T10</f>
        <v/>
      </c>
      <c r="W10" s="26">
        <f>V10*8</f>
        <v/>
      </c>
      <c r="X10" s="32" t="n">
        <v>36411.04</v>
      </c>
    </row>
    <row r="11">
      <c r="A11" s="18" t="n">
        <v>4</v>
      </c>
      <c r="B11" s="28" t="n">
        <v>12484</v>
      </c>
      <c r="C11" s="29" t="n">
        <v>41883</v>
      </c>
      <c r="D11" s="20" t="n">
        <v>46171</v>
      </c>
      <c r="E11" s="18">
        <f>D11-C11</f>
        <v/>
      </c>
      <c r="F11" s="21">
        <f>DATEDIF(C11, D11, "y") &amp; " years, " &amp; DATEDIF(C11, D11, "ym") &amp; " months, " &amp; DATEDIF(C11, D11, "md") &amp; " days"</f>
        <v/>
      </c>
      <c r="G11" s="22">
        <f>DATEDIF(C11,D11,"Y") + DATEDIF(C11,D11,"YM")/12 + DATEDIF(C11,D11,"MD")/30/12</f>
        <v/>
      </c>
      <c r="H11" s="23" t="n"/>
      <c r="I11" s="24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16">
        <f>SUM(H11:S11)</f>
        <v/>
      </c>
      <c r="U11" s="18" t="inlineStr">
        <is>
          <t>15 days left for the year</t>
        </is>
      </c>
      <c r="V11" s="26">
        <f>15-T11</f>
        <v/>
      </c>
      <c r="W11" s="26">
        <f>V11*8</f>
        <v/>
      </c>
      <c r="X11" s="32" t="n">
        <v>36411.04</v>
      </c>
    </row>
    <row r="12">
      <c r="A12" s="18" t="n">
        <v>5</v>
      </c>
      <c r="B12" s="28" t="n">
        <v>12032</v>
      </c>
      <c r="C12" s="29" t="n">
        <v>40910</v>
      </c>
      <c r="D12" s="20" t="n">
        <v>46171</v>
      </c>
      <c r="E12" s="18">
        <f>D12-C12</f>
        <v/>
      </c>
      <c r="F12" s="21">
        <f>DATEDIF(C12, D12, "y") &amp; " years, " &amp; DATEDIF(C12, D12, "ym") &amp; " months, " &amp; DATEDIF(C12, D12, "md") &amp; " days"</f>
        <v/>
      </c>
      <c r="G12" s="22">
        <f>DATEDIF(C12,D12,"Y") + DATEDIF(C12,D12,"YM")/12 + DATEDIF(C12,D12,"MD")/30/12</f>
        <v/>
      </c>
      <c r="H12" s="30" t="n"/>
      <c r="I12" s="31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16">
        <f>SUM(H12:S12)</f>
        <v/>
      </c>
      <c r="U12" s="18" t="inlineStr">
        <is>
          <t>15 days left for the year</t>
        </is>
      </c>
      <c r="V12" s="26">
        <f>15-T12</f>
        <v/>
      </c>
      <c r="W12" s="26">
        <f>V12*8</f>
        <v/>
      </c>
      <c r="X12" s="32" t="n">
        <v>36411.04</v>
      </c>
    </row>
    <row r="13">
      <c r="A13" s="18" t="n">
        <v>6</v>
      </c>
      <c r="B13" s="28" t="n">
        <v>12283</v>
      </c>
      <c r="C13" s="29" t="n">
        <v>41254</v>
      </c>
      <c r="D13" s="20" t="n">
        <v>46171</v>
      </c>
      <c r="E13" s="18">
        <f>D13-C13</f>
        <v/>
      </c>
      <c r="F13" s="21">
        <f>DATEDIF(C13, D13, "y") &amp; " years, " &amp; DATEDIF(C13, D13, "ym") &amp; " months, " &amp; DATEDIF(C13, D13, "md") &amp; " days"</f>
        <v/>
      </c>
      <c r="G13" s="22">
        <f>DATEDIF(C13,D13,"Y") + DATEDIF(C13,D13,"YM")/12 + DATEDIF(C13,D13,"MD")/30/12</f>
        <v/>
      </c>
      <c r="H13" s="23" t="n"/>
      <c r="I13" s="24" t="n"/>
      <c r="J13" s="25" t="n">
        <v>5</v>
      </c>
      <c r="K13" s="25" t="n">
        <v>2</v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16">
        <f>SUM(H13:S13)</f>
        <v/>
      </c>
      <c r="U13" s="18" t="inlineStr">
        <is>
          <t>8 days left for the year</t>
        </is>
      </c>
      <c r="V13" s="26">
        <f>15-T13</f>
        <v/>
      </c>
      <c r="W13" s="26">
        <f>V13*8</f>
        <v/>
      </c>
      <c r="X13" s="32" t="n">
        <v>36411.04</v>
      </c>
    </row>
    <row r="14">
      <c r="A14" s="18" t="n">
        <v>7</v>
      </c>
      <c r="B14" s="28" t="n">
        <v>12308</v>
      </c>
      <c r="C14" s="29" t="n">
        <v>41254</v>
      </c>
      <c r="D14" s="20" t="n">
        <v>46171</v>
      </c>
      <c r="E14" s="18">
        <f>D14-C14</f>
        <v/>
      </c>
      <c r="F14" s="21">
        <f>DATEDIF(C14, D14, "y") &amp; " years, " &amp; DATEDIF(C14, D14, "ym") &amp; " months, " &amp; DATEDIF(C14, D14, "md") &amp; " days"</f>
        <v/>
      </c>
      <c r="G14" s="22">
        <f>DATEDIF(C14,D14,"Y") + DATEDIF(C14,D14,"YM")/12 + DATEDIF(C14,D14,"MD")/30/12</f>
        <v/>
      </c>
      <c r="H14" s="23" t="n"/>
      <c r="I14" s="24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16">
        <f>SUM(H14:S14)</f>
        <v/>
      </c>
      <c r="U14" s="18" t="inlineStr">
        <is>
          <t>15 days left for the year</t>
        </is>
      </c>
      <c r="V14" s="26">
        <f>15-T14</f>
        <v/>
      </c>
      <c r="W14" s="26">
        <f>V14*8</f>
        <v/>
      </c>
      <c r="X14" s="32" t="n">
        <v>36411.04</v>
      </c>
    </row>
    <row r="15">
      <c r="A15" s="18" t="n">
        <v>8</v>
      </c>
      <c r="B15" s="28" t="n">
        <v>1005544</v>
      </c>
      <c r="C15" s="29" t="n">
        <v>42322</v>
      </c>
      <c r="D15" s="20" t="n">
        <v>46171</v>
      </c>
      <c r="E15" s="18">
        <f>D15-C15</f>
        <v/>
      </c>
      <c r="F15" s="21">
        <f>DATEDIF(C15, D15, "y") &amp; " years, " &amp; DATEDIF(C15, D15, "ym") &amp; " months, " &amp; DATEDIF(C15, D15, "md") &amp; " days"</f>
        <v/>
      </c>
      <c r="G15" s="22">
        <f>DATEDIF(C15,D15,"Y") + DATEDIF(C15,D15,"YM")/12 + DATEDIF(C15,D15,"MD")/30/12</f>
        <v/>
      </c>
      <c r="H15" s="23" t="n"/>
      <c r="I15" s="24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16">
        <f>SUM(H15:S15)</f>
        <v/>
      </c>
      <c r="U15" s="18" t="inlineStr">
        <is>
          <t>15 days left for the year</t>
        </is>
      </c>
      <c r="V15" s="26">
        <f>15-T15</f>
        <v/>
      </c>
      <c r="W15" s="26">
        <f>V15*8</f>
        <v/>
      </c>
      <c r="X15" s="32" t="n">
        <v>36411.04</v>
      </c>
    </row>
    <row r="16">
      <c r="A16" s="18" t="n">
        <v>9</v>
      </c>
      <c r="B16" s="28" t="n">
        <v>12460</v>
      </c>
      <c r="C16" s="29" t="n">
        <v>41709</v>
      </c>
      <c r="D16" s="20" t="n">
        <v>46171</v>
      </c>
      <c r="E16" s="18">
        <f>D16-C16</f>
        <v/>
      </c>
      <c r="F16" s="21">
        <f>DATEDIF(C16, D16, "y") &amp; " years, " &amp; DATEDIF(C16, D16, "ym") &amp; " months, " &amp; DATEDIF(C16, D16, "md") &amp; " days"</f>
        <v/>
      </c>
      <c r="G16" s="22">
        <f>DATEDIF(C16,D16,"Y") + DATEDIF(C16,D16,"YM")/12 + DATEDIF(C16,D16,"MD")/30/12</f>
        <v/>
      </c>
      <c r="H16" s="23" t="n"/>
      <c r="I16" s="24" t="n"/>
      <c r="J16" s="25" t="n">
        <v>14</v>
      </c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16">
        <f>SUM(H16:S16)</f>
        <v/>
      </c>
      <c r="U16" s="18" t="inlineStr">
        <is>
          <t xml:space="preserve">1 day left for the year </t>
        </is>
      </c>
      <c r="V16" s="26">
        <f>15-T16</f>
        <v/>
      </c>
      <c r="W16" s="26">
        <f>V16*8</f>
        <v/>
      </c>
      <c r="X16" s="32" t="n">
        <v>36411.04</v>
      </c>
    </row>
    <row r="17">
      <c r="A17" s="18" t="n">
        <v>10</v>
      </c>
      <c r="B17" s="28" t="n">
        <v>12137</v>
      </c>
      <c r="C17" s="33" t="n">
        <v>41303</v>
      </c>
      <c r="D17" s="20" t="n">
        <v>46171</v>
      </c>
      <c r="E17" s="18">
        <f>D17-C17</f>
        <v/>
      </c>
      <c r="F17" s="21">
        <f>DATEDIF(C17, D17, "y") &amp; " years, " &amp; DATEDIF(C17, D17, "ym") &amp; " months, " &amp; DATEDIF(C17, D17, "md") &amp; " days"</f>
        <v/>
      </c>
      <c r="G17" s="22">
        <f>DATEDIF(C17,D17,"Y") + DATEDIF(C17,D17,"YM")/12 + DATEDIF(C17,D17,"MD")/30/12</f>
        <v/>
      </c>
      <c r="H17" s="30" t="n"/>
      <c r="I17" s="31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16">
        <f>SUM(H17:S17)</f>
        <v/>
      </c>
      <c r="U17" s="18" t="inlineStr">
        <is>
          <t>15 days left for the year</t>
        </is>
      </c>
      <c r="V17" s="26">
        <f>15-T17</f>
        <v/>
      </c>
      <c r="W17" s="26">
        <f>V17*8</f>
        <v/>
      </c>
      <c r="X17" s="32" t="n">
        <v>36411.04</v>
      </c>
    </row>
    <row r="18">
      <c r="A18" s="18" t="n">
        <v>11</v>
      </c>
      <c r="B18" s="28" t="n">
        <v>7623</v>
      </c>
      <c r="C18" s="29" t="n">
        <v>44105</v>
      </c>
      <c r="D18" s="20" t="n">
        <v>46171</v>
      </c>
      <c r="E18" s="18">
        <f>D18-C18</f>
        <v/>
      </c>
      <c r="F18" s="21">
        <f>DATEDIF(C18, D18, "y") &amp; " years, " &amp; DATEDIF(C18, D18, "ym") &amp; " months, " &amp; DATEDIF(C18, D18, "md") &amp; " days"</f>
        <v/>
      </c>
      <c r="G18" s="22">
        <f>DATEDIF(C18,D18,"Y") + DATEDIF(C18,D18,"YM")/12 + DATEDIF(C18,D18,"MD")/30/12</f>
        <v/>
      </c>
      <c r="H18" s="23" t="n"/>
      <c r="I18" s="24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16">
        <f>SUM(H18:S18)</f>
        <v/>
      </c>
      <c r="U18" s="18" t="inlineStr">
        <is>
          <t>15 days left for the year</t>
        </is>
      </c>
      <c r="V18" s="26">
        <f>15-T18</f>
        <v/>
      </c>
      <c r="W18" s="26">
        <f>V18*8</f>
        <v/>
      </c>
      <c r="X18" s="32" t="n">
        <v>36411.04</v>
      </c>
    </row>
    <row r="19">
      <c r="A19" s="18" t="n">
        <v>12</v>
      </c>
      <c r="B19" s="28" t="n">
        <v>12455</v>
      </c>
      <c r="C19" s="29" t="n">
        <v>41594</v>
      </c>
      <c r="D19" s="20" t="n">
        <v>46171</v>
      </c>
      <c r="E19" s="18">
        <f>D19-C19</f>
        <v/>
      </c>
      <c r="F19" s="21">
        <f>DATEDIF(C19, D19, "y") &amp; " years, " &amp; DATEDIF(C19, D19, "ym") &amp; " months, " &amp; DATEDIF(C19, D19, "md") &amp; " days"</f>
        <v/>
      </c>
      <c r="G19" s="22">
        <f>DATEDIF(C19,D19,"Y") + DATEDIF(C19,D19,"YM")/12 + DATEDIF(C19,D19,"MD")/30/12</f>
        <v/>
      </c>
      <c r="H19" s="23" t="n"/>
      <c r="I19" s="24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16">
        <f>SUM(H19:S19)</f>
        <v/>
      </c>
      <c r="U19" s="18" t="inlineStr">
        <is>
          <t>15 days left for the year</t>
        </is>
      </c>
      <c r="V19" s="26">
        <f>15-T19</f>
        <v/>
      </c>
      <c r="W19" s="26">
        <f>V19*8</f>
        <v/>
      </c>
      <c r="X19" s="32" t="n">
        <v>36411.04</v>
      </c>
    </row>
    <row r="20">
      <c r="A20" s="18" t="n">
        <v>13</v>
      </c>
      <c r="B20" s="28" t="n">
        <v>12153</v>
      </c>
      <c r="C20" s="33" t="n">
        <v>40910</v>
      </c>
      <c r="D20" s="20" t="n">
        <v>46171</v>
      </c>
      <c r="E20" s="18">
        <f>D20-C20</f>
        <v/>
      </c>
      <c r="F20" s="21">
        <f>DATEDIF(C20, D20, "y") &amp; " years, " &amp; DATEDIF(C20, D20, "ym") &amp; " months, " &amp; DATEDIF(C20, D20, "md") &amp; " days"</f>
        <v/>
      </c>
      <c r="G20" s="22">
        <f>DATEDIF(C20,D20,"Y") + DATEDIF(C20,D20,"YM")/12 + DATEDIF(C20,D20,"MD")/30/12</f>
        <v/>
      </c>
      <c r="H20" s="34" t="n"/>
      <c r="I20" s="3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16" t="n">
        <v>0</v>
      </c>
      <c r="U20" s="18" t="inlineStr">
        <is>
          <t>15 days left for the year</t>
        </is>
      </c>
      <c r="V20" s="26">
        <f>15-T20</f>
        <v/>
      </c>
      <c r="W20" s="26">
        <f>V20*8</f>
        <v/>
      </c>
      <c r="X20" s="32" t="n">
        <v>36411.04</v>
      </c>
    </row>
    <row r="21">
      <c r="A21" s="18" t="n">
        <v>14</v>
      </c>
      <c r="B21" s="28" t="n">
        <v>12479</v>
      </c>
      <c r="C21" s="29" t="n">
        <v>41806</v>
      </c>
      <c r="D21" s="20" t="n">
        <v>46171</v>
      </c>
      <c r="E21" s="18">
        <f>D21-C21</f>
        <v/>
      </c>
      <c r="F21" s="21">
        <f>DATEDIF(C21, D21, "y") &amp; " years, " &amp; DATEDIF(C21, D21, "ym") &amp; " months, " &amp; DATEDIF(C21, D21, "md") &amp; " days"</f>
        <v/>
      </c>
      <c r="G21" s="22">
        <f>DATEDIF(C21,D21,"Y") + DATEDIF(C21,D21,"YM")/12 + DATEDIF(C21,D21,"MD")/30/12</f>
        <v/>
      </c>
      <c r="H21" s="23" t="n"/>
      <c r="I21" s="24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16">
        <f>SUM(H21:S21)</f>
        <v/>
      </c>
      <c r="U21" s="18" t="inlineStr">
        <is>
          <t>15 days left for the year</t>
        </is>
      </c>
      <c r="V21" s="26">
        <f>15-T21</f>
        <v/>
      </c>
      <c r="W21" s="26">
        <f>V21*8</f>
        <v/>
      </c>
      <c r="X21" s="32" t="n">
        <v>36411.04</v>
      </c>
    </row>
    <row r="22">
      <c r="A22" s="18" t="n">
        <v>15</v>
      </c>
      <c r="B22" s="28" t="n">
        <v>12465</v>
      </c>
      <c r="C22" s="29" t="n">
        <v>41641</v>
      </c>
      <c r="D22" s="20" t="n">
        <v>46171</v>
      </c>
      <c r="E22" s="18">
        <f>D22-C22</f>
        <v/>
      </c>
      <c r="F22" s="21">
        <f>DATEDIF(C22, D22, "y") &amp; " years, " &amp; DATEDIF(C22, D22, "ym") &amp; " months, " &amp; DATEDIF(C22, D22, "md") &amp; " days"</f>
        <v/>
      </c>
      <c r="G22" s="22">
        <f>DATEDIF(C22,D22,"Y") + DATEDIF(C22,D22,"YM")/12 + DATEDIF(C22,D22,"MD")/30/12</f>
        <v/>
      </c>
      <c r="H22" s="23" t="n"/>
      <c r="I22" s="24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16">
        <f>SUM(H22:S22)</f>
        <v/>
      </c>
      <c r="U22" s="18" t="inlineStr">
        <is>
          <t>15 days left for the year</t>
        </is>
      </c>
      <c r="V22" s="26">
        <f>15-T22</f>
        <v/>
      </c>
      <c r="W22" s="26">
        <f>V22*8</f>
        <v/>
      </c>
      <c r="X22" s="32" t="n">
        <v>36411.04</v>
      </c>
    </row>
    <row r="23">
      <c r="A23" s="18" t="n">
        <v>16</v>
      </c>
      <c r="B23" s="28" t="n">
        <v>12530</v>
      </c>
      <c r="C23" s="29" t="n">
        <v>41641</v>
      </c>
      <c r="D23" s="20" t="n">
        <v>46171</v>
      </c>
      <c r="E23" s="18">
        <f>D23-C23</f>
        <v/>
      </c>
      <c r="F23" s="21">
        <f>DATEDIF(C23, D23, "y") &amp; " years, " &amp; DATEDIF(C23, D23, "ym") &amp; " months, " &amp; DATEDIF(C23, D23, "md") &amp; " days"</f>
        <v/>
      </c>
      <c r="G23" s="22">
        <f>DATEDIF(C23,D23,"Y") + DATEDIF(C23,D23,"YM")/12 + DATEDIF(C23,D23,"MD")/30/12</f>
        <v/>
      </c>
      <c r="H23" s="23" t="n"/>
      <c r="I23" s="24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16">
        <f>SUM(H23:S23)</f>
        <v/>
      </c>
      <c r="U23" s="18" t="inlineStr">
        <is>
          <t>15 days left for the year</t>
        </is>
      </c>
      <c r="V23" s="26">
        <f>15-T23</f>
        <v/>
      </c>
      <c r="W23" s="26">
        <f>V23*8</f>
        <v/>
      </c>
      <c r="X23" s="32" t="n">
        <v>36411.04</v>
      </c>
    </row>
    <row r="24">
      <c r="A24" s="18" t="n">
        <v>17</v>
      </c>
      <c r="B24" s="28" t="n">
        <v>12378</v>
      </c>
      <c r="C24" s="29" t="n">
        <v>42303</v>
      </c>
      <c r="D24" s="20" t="n">
        <v>46171</v>
      </c>
      <c r="E24" s="18">
        <f>D24-C24</f>
        <v/>
      </c>
      <c r="F24" s="21">
        <f>DATEDIF(C24, D24, "y") &amp; " years, " &amp; DATEDIF(C24, D24, "ym") &amp; " months, " &amp; DATEDIF(C24, D24, "md") &amp; " days"</f>
        <v/>
      </c>
      <c r="G24" s="22">
        <f>DATEDIF(C24,D24,"Y") + DATEDIF(C24,D24,"YM")/12 + DATEDIF(C24,D24,"MD")/30/12</f>
        <v/>
      </c>
      <c r="H24" s="23" t="n"/>
      <c r="I24" s="24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16">
        <f>SUM(H24:S24)</f>
        <v/>
      </c>
      <c r="U24" s="18" t="inlineStr">
        <is>
          <t>15 days left for the year</t>
        </is>
      </c>
      <c r="V24" s="26">
        <f>15-T24</f>
        <v/>
      </c>
      <c r="W24" s="26">
        <f>V24*8</f>
        <v/>
      </c>
      <c r="X24" s="32" t="n">
        <v>36411.04</v>
      </c>
    </row>
    <row r="25">
      <c r="A25" s="18" t="n">
        <v>18</v>
      </c>
      <c r="B25" s="28" t="n">
        <v>12400</v>
      </c>
      <c r="C25" s="29" t="n">
        <v>40910</v>
      </c>
      <c r="D25" s="20" t="n">
        <v>46171</v>
      </c>
      <c r="E25" s="18">
        <f>D25-C25</f>
        <v/>
      </c>
      <c r="F25" s="21">
        <f>DATEDIF(C25, D25, "y") &amp; " years, " &amp; DATEDIF(C25, D25, "ym") &amp; " months, " &amp; DATEDIF(C25, D25, "md") &amp; " days"</f>
        <v/>
      </c>
      <c r="G25" s="22">
        <f>DATEDIF(C25,D25,"Y") + DATEDIF(C25,D25,"YM")/12 + DATEDIF(C25,D25,"MD")/30/12</f>
        <v/>
      </c>
      <c r="H25" s="23" t="n"/>
      <c r="I25" s="24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16">
        <f>SUM(H25:S25)</f>
        <v/>
      </c>
      <c r="U25" s="18" t="inlineStr">
        <is>
          <t>15 days left for the year</t>
        </is>
      </c>
      <c r="V25" s="26">
        <f>15-T25</f>
        <v/>
      </c>
      <c r="W25" s="26">
        <f>V25*8</f>
        <v/>
      </c>
      <c r="X25" s="32" t="n">
        <v>36411.04</v>
      </c>
    </row>
    <row r="26">
      <c r="A26" s="18" t="n">
        <v>19</v>
      </c>
      <c r="B26" s="28" t="n">
        <v>12408</v>
      </c>
      <c r="C26" s="29" t="n">
        <v>41765</v>
      </c>
      <c r="D26" s="20" t="n">
        <v>46171</v>
      </c>
      <c r="E26" s="18">
        <f>D26-C26</f>
        <v/>
      </c>
      <c r="F26" s="21">
        <f>DATEDIF(C26, D26, "y") &amp; " years, " &amp; DATEDIF(C26, D26, "ym") &amp; " months, " &amp; DATEDIF(C26, D26, "md") &amp; " days"</f>
        <v/>
      </c>
      <c r="G26" s="22">
        <f>DATEDIF(C26,D26,"Y") + DATEDIF(C26,D26,"YM")/12 + DATEDIF(C26,D26,"MD")/30/12</f>
        <v/>
      </c>
      <c r="H26" s="23" t="n"/>
      <c r="I26" s="24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16">
        <f>SUM(H26:S26)</f>
        <v/>
      </c>
      <c r="U26" s="18" t="inlineStr">
        <is>
          <t>15 days left for the year</t>
        </is>
      </c>
      <c r="V26" s="26">
        <f>15-T26</f>
        <v/>
      </c>
      <c r="W26" s="26">
        <f>V26*8</f>
        <v/>
      </c>
      <c r="X26" s="32" t="n">
        <v>36411.04</v>
      </c>
    </row>
    <row r="27">
      <c r="A27" s="18" t="n">
        <v>20</v>
      </c>
      <c r="B27" s="28" t="n">
        <v>12454</v>
      </c>
      <c r="C27" s="29" t="n">
        <v>41594</v>
      </c>
      <c r="D27" s="20" t="n">
        <v>46171</v>
      </c>
      <c r="E27" s="18">
        <f>D27-C27</f>
        <v/>
      </c>
      <c r="F27" s="21">
        <f>DATEDIF(C27, D27, "y") &amp; " years, " &amp; DATEDIF(C27, D27, "ym") &amp; " months, " &amp; DATEDIF(C27, D27, "md") &amp; " days"</f>
        <v/>
      </c>
      <c r="G27" s="22">
        <f>DATEDIF(C27,D27,"Y") + DATEDIF(C27,D27,"YM")/12 + DATEDIF(C27,D27,"MD")/30/12</f>
        <v/>
      </c>
      <c r="H27" s="23" t="n"/>
      <c r="I27" s="24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16">
        <f>SUM(H27:S27)</f>
        <v/>
      </c>
      <c r="U27" s="18" t="inlineStr">
        <is>
          <t>15 days left for the year</t>
        </is>
      </c>
      <c r="V27" s="26">
        <f>15-T27</f>
        <v/>
      </c>
      <c r="W27" s="26">
        <f>V27*8</f>
        <v/>
      </c>
      <c r="X27" s="32" t="n">
        <v>36411.04</v>
      </c>
    </row>
    <row r="28">
      <c r="A28" s="18" t="n">
        <v>21</v>
      </c>
      <c r="B28" s="28" t="n">
        <v>12295</v>
      </c>
      <c r="C28" s="29" t="n">
        <v>41765</v>
      </c>
      <c r="D28" s="20" t="n">
        <v>46171</v>
      </c>
      <c r="E28" s="18">
        <f>D28-C28</f>
        <v/>
      </c>
      <c r="F28" s="21">
        <f>DATEDIF(C28, D28, "y") &amp; " years, " &amp; DATEDIF(C28, D28, "ym") &amp; " months, " &amp; DATEDIF(C28, D28, "md") &amp; " days"</f>
        <v/>
      </c>
      <c r="G28" s="22">
        <f>DATEDIF(C28,D28,"Y") + DATEDIF(C28,D28,"YM")/12 + DATEDIF(C28,D28,"MD")/30/12</f>
        <v/>
      </c>
      <c r="H28" s="23" t="n"/>
      <c r="I28" s="24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16">
        <f>SUM(H28:S28)</f>
        <v/>
      </c>
      <c r="U28" s="18" t="inlineStr">
        <is>
          <t>15 days left for the year</t>
        </is>
      </c>
      <c r="V28" s="26">
        <f>15-T28</f>
        <v/>
      </c>
      <c r="W28" s="26">
        <f>V28*8</f>
        <v/>
      </c>
      <c r="X28" s="36" t="n">
        <v>51556.12</v>
      </c>
    </row>
    <row r="29">
      <c r="A29" s="18" t="n">
        <v>22</v>
      </c>
      <c r="B29" s="28" t="n">
        <v>1006054</v>
      </c>
      <c r="C29" s="29" t="n">
        <v>43526</v>
      </c>
      <c r="D29" s="20" t="n">
        <v>46171</v>
      </c>
      <c r="E29" s="18">
        <f>D29-C29</f>
        <v/>
      </c>
      <c r="F29" s="21">
        <f>DATEDIF(C29, D29, "y") &amp; " years, " &amp; DATEDIF(C29, D29, "ym") &amp; " months, " &amp; DATEDIF(C29, D29, "md") &amp; " days"</f>
        <v/>
      </c>
      <c r="G29" s="22">
        <f>DATEDIF(C29,D29,"Y") + DATEDIF(C29,D29,"YM")/12 + DATEDIF(C29,D29,"MD")/30/12</f>
        <v/>
      </c>
      <c r="H29" s="23" t="n"/>
      <c r="I29" s="24" t="n">
        <v>7</v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16">
        <f>SUM(H29:S29)</f>
        <v/>
      </c>
      <c r="U29" s="18" t="inlineStr">
        <is>
          <t>8 days left for the year</t>
        </is>
      </c>
      <c r="V29" s="26">
        <f>15-T29</f>
        <v/>
      </c>
      <c r="W29" s="26">
        <f>V29*8</f>
        <v/>
      </c>
      <c r="X29" s="36" t="n">
        <v>51556.12</v>
      </c>
    </row>
    <row r="30">
      <c r="A30" s="18" t="n">
        <v>23</v>
      </c>
      <c r="B30" s="38" t="n">
        <v>12669</v>
      </c>
      <c r="C30" s="33" t="n">
        <v>39356</v>
      </c>
      <c r="D30" s="20" t="n">
        <v>46171</v>
      </c>
      <c r="E30" s="18">
        <f>D30-C30</f>
        <v/>
      </c>
      <c r="F30" s="21">
        <f>DATEDIF(C30, D30, "y") &amp; " years, " &amp; DATEDIF(C30, D30, "ym") &amp; " months, " &amp; DATEDIF(C30, D30, "md") &amp; " days"</f>
        <v/>
      </c>
      <c r="G30" s="39">
        <f>DATEDIF(C30,D30,"Y") + DATEDIF(C30,D30,"YM")/12 + DATEDIF(C30,D30,"MD")/30/12</f>
        <v/>
      </c>
      <c r="H30" s="23" t="n"/>
      <c r="I30" s="24" t="n">
        <v>1</v>
      </c>
      <c r="J30" s="25" t="n"/>
      <c r="K30" s="25" t="n">
        <v>1</v>
      </c>
      <c r="L30" s="25" t="n"/>
      <c r="M30" s="25" t="n"/>
      <c r="N30" s="25" t="n"/>
      <c r="O30" s="25" t="n"/>
      <c r="P30" s="25" t="n"/>
      <c r="Q30" s="25" t="n"/>
      <c r="R30" s="25" t="n"/>
      <c r="S30" s="25" t="n"/>
      <c r="T30" s="16">
        <f>SUM(H30:S30)</f>
        <v/>
      </c>
      <c r="U30" s="18" t="inlineStr">
        <is>
          <t>13 days left for the year</t>
        </is>
      </c>
      <c r="V30" s="40">
        <f>15-T30</f>
        <v/>
      </c>
      <c r="W30" s="40">
        <f>V30*8</f>
        <v/>
      </c>
      <c r="X30" s="41" t="n">
        <v>36411.04</v>
      </c>
    </row>
    <row r="31">
      <c r="A31" s="18" t="n">
        <v>24</v>
      </c>
      <c r="B31" s="38" t="n">
        <v>12670</v>
      </c>
      <c r="C31" s="33" t="n">
        <v>39356</v>
      </c>
      <c r="D31" s="20" t="n">
        <v>46171</v>
      </c>
      <c r="E31" s="18">
        <f>D31-C31</f>
        <v/>
      </c>
      <c r="F31" s="21">
        <f>DATEDIF(C31, D31, "y") &amp; " years, " &amp; DATEDIF(C31, D31, "ym") &amp; " months, " &amp; DATEDIF(C31, D31, "md") &amp; " days"</f>
        <v/>
      </c>
      <c r="G31" s="39">
        <f>DATEDIF(C31,D31,"Y") + DATEDIF(C31,D31,"YM")/12 + DATEDIF(C31,D31,"MD")/30/12</f>
        <v/>
      </c>
      <c r="H31" s="23" t="n"/>
      <c r="I31" s="24" t="n">
        <v>1</v>
      </c>
      <c r="J31" s="25" t="n"/>
      <c r="K31" s="25" t="n">
        <v>1</v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16">
        <f>SUM(H31:S31)</f>
        <v/>
      </c>
      <c r="U31" s="18" t="inlineStr">
        <is>
          <t>13 days left for the year</t>
        </is>
      </c>
      <c r="V31" s="40">
        <f>15-T31</f>
        <v/>
      </c>
      <c r="W31" s="40">
        <f>V31*8</f>
        <v/>
      </c>
      <c r="X31" s="41" t="n">
        <v>36411.04</v>
      </c>
    </row>
    <row r="32">
      <c r="A32" s="18" t="n">
        <v>25</v>
      </c>
      <c r="B32" s="38" t="n">
        <v>12679</v>
      </c>
      <c r="C32" s="33" t="n">
        <v>39997</v>
      </c>
      <c r="D32" s="20" t="n">
        <v>46171</v>
      </c>
      <c r="E32" s="18">
        <f>D32-C32</f>
        <v/>
      </c>
      <c r="F32" s="21">
        <f>DATEDIF(C32, D32, "y") &amp; " years, " &amp; DATEDIF(C32, D32, "ym") &amp; " months, " &amp; DATEDIF(C32, D32, "md") &amp; " days"</f>
        <v/>
      </c>
      <c r="G32" s="39">
        <f>DATEDIF(C32,D32,"Y") + DATEDIF(C32,D32,"YM")/12 + DATEDIF(C32,D32,"MD")/30/12</f>
        <v/>
      </c>
      <c r="H32" s="23" t="n"/>
      <c r="I32" s="24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16" t="n">
        <v>0</v>
      </c>
      <c r="U32" s="18" t="inlineStr">
        <is>
          <t>15 days left for the year</t>
        </is>
      </c>
      <c r="V32" s="40">
        <f>15-T32</f>
        <v/>
      </c>
      <c r="W32" s="40">
        <f>V32*8</f>
        <v/>
      </c>
      <c r="X32" s="41" t="n">
        <v>36411.04</v>
      </c>
    </row>
    <row r="33">
      <c r="A33" s="18" t="n">
        <v>26</v>
      </c>
      <c r="B33" s="38" t="n">
        <v>12674</v>
      </c>
      <c r="C33" s="33" t="n">
        <v>39449</v>
      </c>
      <c r="D33" s="20" t="n">
        <v>46171</v>
      </c>
      <c r="E33" s="18">
        <f>D33-C33</f>
        <v/>
      </c>
      <c r="F33" s="21">
        <f>DATEDIF(C33, D33, "y") &amp; " years, " &amp; DATEDIF(C33, D33, "ym") &amp; " months, " &amp; DATEDIF(C33, D33, "md") &amp; " days"</f>
        <v/>
      </c>
      <c r="G33" s="39">
        <f>DATEDIF(C33,D33,"Y") + DATEDIF(C33,D33,"YM")/12 + DATEDIF(C33,D33,"MD")/30/12</f>
        <v/>
      </c>
      <c r="H33" s="23" t="n"/>
      <c r="I33" s="24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16">
        <f>SUM(H33:S33)</f>
        <v/>
      </c>
      <c r="U33" s="18" t="inlineStr">
        <is>
          <t>15 days left for the year</t>
        </is>
      </c>
      <c r="V33" s="40">
        <f>15-T33</f>
        <v/>
      </c>
      <c r="W33" s="40">
        <f>V33*8</f>
        <v/>
      </c>
      <c r="X33" s="41" t="n">
        <v>36411.04</v>
      </c>
    </row>
    <row r="34">
      <c r="A34" s="18" t="n">
        <v>27</v>
      </c>
      <c r="B34" s="38" t="n">
        <v>12678</v>
      </c>
      <c r="C34" s="33" t="n">
        <v>39968</v>
      </c>
      <c r="D34" s="20" t="n">
        <v>46171</v>
      </c>
      <c r="E34" s="18">
        <f>D34-C34</f>
        <v/>
      </c>
      <c r="F34" s="21">
        <f>DATEDIF(C34, D34, "y") &amp; " years, " &amp; DATEDIF(C34, D34, "ym") &amp; " months, " &amp; DATEDIF(C34, D34, "md") &amp; " days"</f>
        <v/>
      </c>
      <c r="G34" s="39">
        <f>DATEDIF(C34,D34,"Y") + DATEDIF(C34,D34,"YM")/12 + DATEDIF(C34,D34,"MD")/30/12</f>
        <v/>
      </c>
      <c r="H34" s="23" t="n"/>
      <c r="I34" s="24" t="n"/>
      <c r="J34" s="25" t="n">
        <v>1</v>
      </c>
      <c r="K34" s="25" t="n">
        <v>2</v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16">
        <f>SUM(H34:S34)</f>
        <v/>
      </c>
      <c r="U34" s="18" t="inlineStr">
        <is>
          <t>12 days left for the year</t>
        </is>
      </c>
      <c r="V34" s="26">
        <f>15-T34</f>
        <v/>
      </c>
      <c r="W34" s="26">
        <f>V34*8</f>
        <v/>
      </c>
      <c r="X34" s="42" t="n">
        <v>36411.04</v>
      </c>
    </row>
    <row r="35">
      <c r="A35" s="18" t="n">
        <v>28</v>
      </c>
      <c r="B35" s="38" t="n">
        <v>12667</v>
      </c>
      <c r="C35" s="33" t="n">
        <v>39356</v>
      </c>
      <c r="D35" s="20" t="n">
        <v>46171</v>
      </c>
      <c r="E35" s="18">
        <f>D35-C35</f>
        <v/>
      </c>
      <c r="F35" s="21">
        <f>DATEDIF(C35, D35, "y") &amp; " years, " &amp; DATEDIF(C35, D35, "ym") &amp; " months, " &amp; DATEDIF(C35, D35, "md") &amp; " days"</f>
        <v/>
      </c>
      <c r="G35" s="39">
        <f>DATEDIF(C35,D35,"Y") + DATEDIF(C35,D35,"YM")/12 + DATEDIF(C35,D35,"MD")/30/12</f>
        <v/>
      </c>
      <c r="H35" s="30" t="n"/>
      <c r="I35" s="31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16">
        <f>SUM(H35:S35)</f>
        <v/>
      </c>
      <c r="U35" s="18" t="inlineStr">
        <is>
          <t>15 days left for the year</t>
        </is>
      </c>
      <c r="V35" s="26">
        <f>15-T35</f>
        <v/>
      </c>
      <c r="W35" s="26">
        <f>V35*8</f>
        <v/>
      </c>
      <c r="X35" s="41" t="n">
        <v>36411.04</v>
      </c>
    </row>
    <row r="37">
      <c r="G37" s="43" t="n"/>
    </row>
  </sheetData>
  <mergeCells count="2">
    <mergeCell ref="H5:V5"/>
    <mergeCell ref="H6:T6"/>
  </mergeCells>
  <conditionalFormatting sqref="B8">
    <cfRule type="duplicateValues" priority="133" dxfId="0"/>
    <cfRule type="duplicateValues" priority="134" dxfId="0"/>
    <cfRule type="duplicateValues" priority="135" dxfId="0"/>
    <cfRule type="duplicateValues" priority="136" dxfId="0"/>
    <cfRule type="duplicateValues" priority="137" dxfId="0"/>
    <cfRule type="duplicateValues" priority="138" dxfId="0"/>
  </conditionalFormatting>
  <conditionalFormatting sqref="B9">
    <cfRule type="duplicateValues" priority="127" dxfId="0"/>
    <cfRule type="duplicateValues" priority="128" dxfId="0"/>
    <cfRule type="duplicateValues" priority="129" dxfId="0"/>
    <cfRule type="duplicateValues" priority="130" dxfId="0"/>
    <cfRule type="duplicateValues" priority="131" dxfId="0"/>
    <cfRule type="duplicateValues" priority="132" dxfId="0"/>
  </conditionalFormatting>
  <conditionalFormatting sqref="B10">
    <cfRule type="duplicateValues" priority="121" dxfId="0"/>
    <cfRule type="duplicateValues" priority="122" dxfId="0"/>
    <cfRule type="duplicateValues" priority="123" dxfId="0"/>
    <cfRule type="duplicateValues" priority="124" dxfId="0"/>
    <cfRule type="duplicateValues" priority="125" dxfId="0"/>
    <cfRule type="duplicateValues" priority="126" dxfId="0"/>
  </conditionalFormatting>
  <conditionalFormatting sqref="B11"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  <cfRule type="duplicateValues" priority="120" dxfId="0"/>
  </conditionalFormatting>
  <conditionalFormatting sqref="B12">
    <cfRule type="duplicateValues" priority="109" dxfId="0"/>
    <cfRule type="duplicateValues" priority="110" dxfId="0"/>
    <cfRule type="duplicateValues" priority="111" dxfId="0"/>
    <cfRule type="duplicateValues" priority="112" dxfId="0"/>
    <cfRule type="duplicateValues" priority="113" dxfId="0"/>
    <cfRule type="duplicateValues" priority="114" dxfId="0"/>
  </conditionalFormatting>
  <conditionalFormatting sqref="B13">
    <cfRule type="duplicateValues" priority="103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14">
    <cfRule type="duplicateValues" priority="97" dxfId="0"/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</conditionalFormatting>
  <conditionalFormatting sqref="B15">
    <cfRule type="duplicateValues" priority="91" dxfId="0"/>
    <cfRule type="duplicateValues" priority="92" dxfId="0"/>
    <cfRule type="duplicateValues" priority="93" dxfId="0"/>
    <cfRule type="duplicateValues" priority="94" dxfId="0"/>
    <cfRule type="duplicateValues" priority="95" dxfId="0"/>
    <cfRule type="duplicateValues" priority="96" dxfId="0"/>
  </conditionalFormatting>
  <conditionalFormatting sqref="B16"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</conditionalFormatting>
  <conditionalFormatting sqref="B17">
    <cfRule type="duplicateValues" priority="79" dxfId="0"/>
    <cfRule type="duplicateValues" priority="80" dxfId="0"/>
    <cfRule type="duplicateValues" priority="81" dxfId="0"/>
    <cfRule type="duplicateValues" priority="82" dxfId="0"/>
    <cfRule type="duplicateValues" priority="83" dxfId="0"/>
    <cfRule type="duplicateValues" priority="84" dxfId="0"/>
  </conditionalFormatting>
  <conditionalFormatting sqref="B18">
    <cfRule type="duplicateValues" priority="73" dxfId="0"/>
    <cfRule type="duplicateValues" priority="74" dxfId="0"/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9">
    <cfRule type="duplicateValues" priority="67" dxfId="0"/>
    <cfRule type="duplicateValues" priority="68" dxfId="0"/>
    <cfRule type="duplicateValues" priority="69" dxfId="0"/>
    <cfRule type="duplicateValues" priority="70" dxfId="0"/>
    <cfRule type="duplicateValues" priority="71" dxfId="0"/>
    <cfRule type="duplicateValues" priority="72" dxfId="0"/>
  </conditionalFormatting>
  <conditionalFormatting sqref="B20">
    <cfRule type="duplicateValues" priority="61" dxfId="0"/>
    <cfRule type="duplicateValues" priority="62" dxfId="0"/>
    <cfRule type="duplicateValues" priority="63" dxfId="0"/>
    <cfRule type="duplicateValues" priority="64" dxfId="0"/>
    <cfRule type="duplicateValues" priority="65" dxfId="0"/>
    <cfRule type="duplicateValues" priority="66" dxfId="0"/>
  </conditionalFormatting>
  <conditionalFormatting sqref="B21">
    <cfRule type="duplicateValues" priority="55" dxfId="0"/>
    <cfRule type="duplicateValues" priority="56" dxfId="0"/>
    <cfRule type="duplicateValues" priority="57" dxfId="0"/>
    <cfRule type="duplicateValues" priority="58" dxfId="0"/>
    <cfRule type="duplicateValues" priority="59" dxfId="0"/>
    <cfRule type="duplicateValues" priority="60" dxfId="0"/>
  </conditionalFormatting>
  <conditionalFormatting sqref="B22">
    <cfRule type="duplicateValues" priority="49" dxfId="0"/>
    <cfRule type="duplicateValues" priority="50" dxfId="0"/>
    <cfRule type="duplicateValues" priority="51" dxfId="0"/>
    <cfRule type="duplicateValues" priority="52" dxfId="0"/>
    <cfRule type="duplicateValues" priority="53" dxfId="0"/>
    <cfRule type="duplicateValues" priority="54" dxfId="0"/>
  </conditionalFormatting>
  <conditionalFormatting sqref="B23"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7" dxfId="0"/>
    <cfRule type="duplicateValues" priority="48" dxfId="0"/>
  </conditionalFormatting>
  <conditionalFormatting sqref="B24">
    <cfRule type="duplicateValues" priority="37" dxfId="0"/>
    <cfRule type="duplicateValues" priority="38" dxfId="0"/>
    <cfRule type="duplicateValues" priority="39" dxfId="0"/>
    <cfRule type="duplicateValues" priority="40" dxfId="0"/>
    <cfRule type="duplicateValues" priority="41" dxfId="0"/>
    <cfRule type="duplicateValues" priority="42" dxfId="0"/>
  </conditionalFormatting>
  <conditionalFormatting sqref="B25">
    <cfRule type="duplicateValues" priority="25" dxfId="0"/>
    <cfRule type="duplicateValues" priority="26" dxfId="0"/>
    <cfRule type="duplicateValues" priority="27" dxfId="0"/>
    <cfRule type="duplicateValues" priority="28" dxfId="0"/>
    <cfRule type="duplicateValues" priority="29" dxfId="0"/>
    <cfRule type="duplicateValues" priority="30" dxfId="0"/>
  </conditionalFormatting>
  <conditionalFormatting sqref="B26">
    <cfRule type="duplicateValues" priority="19" dxfId="0"/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</conditionalFormatting>
  <conditionalFormatting sqref="B27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</conditionalFormatting>
  <conditionalFormatting sqref="B28"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</conditionalFormatting>
  <conditionalFormatting sqref="B2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</conditionalFormatting>
  <conditionalFormatting sqref="B30">
    <cfRule type="duplicateValues" priority="36" dxfId="0"/>
  </conditionalFormatting>
  <conditionalFormatting sqref="B31">
    <cfRule type="duplicateValues" priority="33" dxfId="0"/>
  </conditionalFormatting>
  <conditionalFormatting sqref="B32">
    <cfRule type="duplicateValues" priority="35" dxfId="0"/>
  </conditionalFormatting>
  <conditionalFormatting sqref="B33">
    <cfRule type="duplicateValues" priority="34" dxfId="0"/>
  </conditionalFormatting>
  <conditionalFormatting sqref="B34">
    <cfRule type="duplicateValues" priority="32" dxfId="0"/>
  </conditionalFormatting>
  <conditionalFormatting sqref="B35">
    <cfRule type="duplicateValues" priority="31" dxfId="0"/>
  </conditionalFormatting>
  <conditionalFormatting sqref="C1:C3">
    <cfRule type="duplicateValues" priority="176" dxfId="0"/>
    <cfRule type="duplicateValues" priority="177" dxfId="0"/>
    <cfRule type="duplicateValues" priority="178" dxfId="0"/>
    <cfRule type="duplicateValues" priority="184" dxfId="0"/>
    <cfRule type="duplicateValues" priority="185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D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6" customWidth="1" min="4" max="4"/>
    <col width="16" customWidth="1" min="5" max="5"/>
    <col width="28" customWidth="1" min="6" max="6"/>
    <col width="14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22" customWidth="1" min="21" max="21"/>
    <col width="16" customWidth="1" min="22" max="22"/>
    <col width="16" customWidth="1" min="23" max="23"/>
    <col width="14" customWidth="1" min="24" max="24"/>
    <col width="16" customWidth="1" min="25" max="25"/>
    <col width="14" customWidth="1" min="26" max="26"/>
    <col width="12" customWidth="1" min="27" max="27"/>
    <col width="12" customWidth="1" min="28" max="28"/>
    <col width="12" customWidth="1" min="29" max="29"/>
    <col width="16" customWidth="1" min="30" max="30"/>
  </cols>
  <sheetData>
    <row r="5">
      <c r="A5" s="1" t="n"/>
      <c r="B5" s="1" t="n"/>
      <c r="C5" s="1" t="n"/>
      <c r="D5" s="1" t="n"/>
      <c r="E5" s="1" t="n"/>
      <c r="F5" s="1" t="n"/>
      <c r="G5" s="1" t="n"/>
      <c r="H5" s="17" t="inlineStr">
        <is>
          <t>Leave days</t>
        </is>
      </c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7" t="n"/>
      <c r="W5" s="6" t="n"/>
      <c r="X5" s="1" t="n"/>
      <c r="Y5" s="48" t="inlineStr">
        <is>
          <t>Leave Encashment (Terminal Benefits)</t>
        </is>
      </c>
    </row>
    <row r="6" ht="30" customHeight="1">
      <c r="A6" s="7" t="inlineStr">
        <is>
          <t>S/N</t>
        </is>
      </c>
      <c r="B6" s="7" t="inlineStr">
        <is>
          <t>ID</t>
        </is>
      </c>
      <c r="C6" s="7" t="inlineStr">
        <is>
          <t>Employment date</t>
        </is>
      </c>
      <c r="D6" s="7" t="inlineStr">
        <is>
          <t xml:space="preserve"> Date of Disengagement</t>
        </is>
      </c>
      <c r="E6" s="8" t="inlineStr">
        <is>
          <t>Total months of service</t>
        </is>
      </c>
      <c r="F6" s="8" t="n"/>
      <c r="G6" s="8" t="inlineStr">
        <is>
          <t>Total years of service</t>
        </is>
      </c>
      <c r="H6" s="9" t="inlineStr">
        <is>
          <t>Leave days used/taken</t>
        </is>
      </c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7" t="n"/>
      <c r="U6" s="10" t="n"/>
      <c r="V6" s="10" t="n"/>
      <c r="W6" s="10" t="n"/>
      <c r="X6" s="8" t="inlineStr">
        <is>
          <t>Basic salary</t>
        </is>
      </c>
      <c r="Y6" s="49" t="inlineStr">
        <is>
          <t>Leave Year Start</t>
        </is>
      </c>
      <c r="Z6" s="49" t="inlineStr">
        <is>
          <t>Days in Leave Year</t>
        </is>
      </c>
      <c r="AA6" s="49" t="inlineStr">
        <is>
          <t>Earned Days</t>
        </is>
      </c>
      <c r="AB6" s="49" t="inlineStr">
        <is>
          <t>Encashed Days</t>
        </is>
      </c>
      <c r="AC6" s="49" t="inlineStr">
        <is>
          <t>Daily Rate (₦)</t>
        </is>
      </c>
      <c r="AD6" s="49" t="inlineStr">
        <is>
          <t>Monetary Value (₦)</t>
        </is>
      </c>
    </row>
    <row r="7" ht="20" customHeight="1">
      <c r="A7" s="11" t="n"/>
      <c r="B7" s="12" t="n"/>
      <c r="C7" s="12" t="n"/>
      <c r="D7" s="12" t="n"/>
      <c r="E7" s="13" t="n"/>
      <c r="F7" s="13" t="n"/>
      <c r="G7" s="13" t="n"/>
      <c r="H7" s="14" t="inlineStr">
        <is>
          <t>JAN</t>
        </is>
      </c>
      <c r="I7" s="15" t="inlineStr">
        <is>
          <t>FEB</t>
        </is>
      </c>
      <c r="J7" s="14" t="inlineStr">
        <is>
          <t>MAR</t>
        </is>
      </c>
      <c r="K7" s="15" t="inlineStr">
        <is>
          <t>APR</t>
        </is>
      </c>
      <c r="L7" s="14" t="inlineStr">
        <is>
          <t>MAY</t>
        </is>
      </c>
      <c r="M7" s="15" t="inlineStr">
        <is>
          <t>JUN</t>
        </is>
      </c>
      <c r="N7" s="14" t="inlineStr">
        <is>
          <t>JUL</t>
        </is>
      </c>
      <c r="O7" s="15" t="inlineStr">
        <is>
          <t>AUG</t>
        </is>
      </c>
      <c r="P7" s="14" t="inlineStr">
        <is>
          <t>SEPT</t>
        </is>
      </c>
      <c r="Q7" s="15" t="inlineStr">
        <is>
          <t>OCT</t>
        </is>
      </c>
      <c r="R7" s="14" t="inlineStr">
        <is>
          <t>NOV</t>
        </is>
      </c>
      <c r="S7" s="15" t="inlineStr">
        <is>
          <t>DEC</t>
        </is>
      </c>
      <c r="T7" s="16" t="inlineStr">
        <is>
          <t>TOTAL</t>
        </is>
      </c>
      <c r="U7" s="17" t="inlineStr">
        <is>
          <t xml:space="preserve">REMARKS </t>
        </is>
      </c>
      <c r="V7" s="13" t="inlineStr">
        <is>
          <t>Leave days remaining</t>
        </is>
      </c>
      <c r="W7" s="13" t="inlineStr">
        <is>
          <t>Leave hours remaining</t>
        </is>
      </c>
      <c r="X7" s="13" t="n"/>
      <c r="Y7" s="50" t="n"/>
      <c r="Z7" s="50" t="n"/>
      <c r="AA7" s="50" t="n"/>
      <c r="AB7" s="50" t="n"/>
      <c r="AC7" s="50" t="n"/>
      <c r="AD7" s="50" t="n"/>
    </row>
    <row r="8">
      <c r="A8" s="18" t="n">
        <v>1</v>
      </c>
      <c r="B8" s="51" t="n">
        <v>12430</v>
      </c>
      <c r="C8" s="52" t="n">
        <v>40910</v>
      </c>
      <c r="D8" s="52" t="n">
        <v>46171</v>
      </c>
      <c r="E8" s="18">
        <f>D8-C8</f>
        <v/>
      </c>
      <c r="F8" s="21">
        <f>DATEDIF(C8, D8, "y") &amp; " years, " &amp; DATEDIF(C8, D8, "ym") &amp; " months, " &amp; DATEDIF(C8, D8, "md") &amp; " days"</f>
        <v/>
      </c>
      <c r="G8" s="22">
        <f>DATEDIF(C8,D8,"Y") + DATEDIF(C8,D8,"YM")/12 + DATEDIF(C8,D8,"MD")/30/12</f>
        <v/>
      </c>
      <c r="H8" s="34" t="n"/>
      <c r="I8" s="25" t="n">
        <v>8</v>
      </c>
      <c r="J8" s="25" t="n">
        <v>7</v>
      </c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16">
        <f>SUM(H8:S8)</f>
        <v/>
      </c>
      <c r="U8" s="18" t="inlineStr">
        <is>
          <t xml:space="preserve"> 0 days left for the year</t>
        </is>
      </c>
      <c r="V8" s="53">
        <f>15-T8</f>
        <v/>
      </c>
      <c r="W8" s="53">
        <f>V8*8</f>
        <v/>
      </c>
      <c r="X8" s="54" t="n">
        <v>36411.04</v>
      </c>
      <c r="Y8" s="55">
        <f>IF(DATE(YEAR(D8),MONTH(C8),DAY(C8))&lt;=D8,DATE(YEAR(D8),MONTH(C8),DAY(C8)),DATE(YEAR(D8)-1,MONTH(C8),DAY(C8)))</f>
        <v/>
      </c>
      <c r="Z8" s="56">
        <f>D8-Y8+1</f>
        <v/>
      </c>
      <c r="AA8" s="57">
        <f>(Z8/365)*15</f>
        <v/>
      </c>
      <c r="AB8" s="57">
        <f>MAX(0,AA8-T8)</f>
        <v/>
      </c>
      <c r="AC8" s="58">
        <f>X8/260</f>
        <v/>
      </c>
      <c r="AD8" s="58">
        <f>AB8*AC8</f>
        <v/>
      </c>
    </row>
    <row r="9">
      <c r="A9" s="18" t="n">
        <v>2</v>
      </c>
      <c r="B9" s="59" t="n">
        <v>12016</v>
      </c>
      <c r="C9" s="60" t="n">
        <v>40910</v>
      </c>
      <c r="D9" s="52" t="n">
        <v>46171</v>
      </c>
      <c r="E9" s="18">
        <f>D9-C9</f>
        <v/>
      </c>
      <c r="F9" s="21">
        <f>DATEDIF(C9, D9, "y") &amp; " years, " &amp; DATEDIF(C9, D9, "ym") &amp; " months, " &amp; DATEDIF(C9, D9, "md") &amp; " days"</f>
        <v/>
      </c>
      <c r="G9" s="22">
        <f>DATEDIF(C9,D9,"Y") + DATEDIF(C9,D9,"YM")/12 + DATEDIF(C9,D9,"MD")/30/12</f>
        <v/>
      </c>
      <c r="H9" s="34" t="n"/>
      <c r="I9" s="3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16">
        <f>SUM(H9:S9)</f>
        <v/>
      </c>
      <c r="U9" s="18" t="inlineStr">
        <is>
          <t>15 days left for the year</t>
        </is>
      </c>
      <c r="V9" s="53">
        <f>15-T9</f>
        <v/>
      </c>
      <c r="W9" s="53">
        <f>V9*8</f>
        <v/>
      </c>
      <c r="X9" s="61" t="n">
        <v>36411.04</v>
      </c>
      <c r="Y9" s="55">
        <f>IF(DATE(YEAR(D9),MONTH(C9),DAY(C9))&lt;=D9,DATE(YEAR(D9),MONTH(C9),DAY(C9)),DATE(YEAR(D9)-1,MONTH(C9),DAY(C9)))</f>
        <v/>
      </c>
      <c r="Z9" s="56">
        <f>D9-Y9+1</f>
        <v/>
      </c>
      <c r="AA9" s="57">
        <f>(Z9/365)*15</f>
        <v/>
      </c>
      <c r="AB9" s="57">
        <f>MAX(0,AA9-T9)</f>
        <v/>
      </c>
      <c r="AC9" s="58">
        <f>X9/260</f>
        <v/>
      </c>
      <c r="AD9" s="58">
        <f>AB9*AC9</f>
        <v/>
      </c>
    </row>
    <row r="10">
      <c r="A10" s="18" t="n">
        <v>3</v>
      </c>
      <c r="B10" s="59" t="n">
        <v>12017</v>
      </c>
      <c r="C10" s="60" t="n">
        <v>40910</v>
      </c>
      <c r="D10" s="52" t="n">
        <v>46171</v>
      </c>
      <c r="E10" s="18">
        <f>D10-C10</f>
        <v/>
      </c>
      <c r="F10" s="21">
        <f>DATEDIF(C10, D10, "y") &amp; " years, " &amp; DATEDIF(C10, D10, "ym") &amp; " months, " &amp; DATEDIF(C10, D10, "md") &amp; " days"</f>
        <v/>
      </c>
      <c r="G10" s="22">
        <f>DATEDIF(C10,D10,"Y") + DATEDIF(C10,D10,"YM")/12 + DATEDIF(C10,D10,"MD")/30/12</f>
        <v/>
      </c>
      <c r="H10" s="34" t="n"/>
      <c r="I10" s="3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16">
        <f>SUM(H10:S10)</f>
        <v/>
      </c>
      <c r="U10" s="18" t="inlineStr">
        <is>
          <t>15 days left for the year</t>
        </is>
      </c>
      <c r="V10" s="53">
        <f>15-T10</f>
        <v/>
      </c>
      <c r="W10" s="53">
        <f>V10*8</f>
        <v/>
      </c>
      <c r="X10" s="61" t="n">
        <v>36411.04</v>
      </c>
      <c r="Y10" s="55">
        <f>IF(DATE(YEAR(D10),MONTH(C10),DAY(C10))&lt;=D10,DATE(YEAR(D10),MONTH(C10),DAY(C10)),DATE(YEAR(D10)-1,MONTH(C10),DAY(C10)))</f>
        <v/>
      </c>
      <c r="Z10" s="56">
        <f>D10-Y10+1</f>
        <v/>
      </c>
      <c r="AA10" s="57">
        <f>(Z10/365)*15</f>
        <v/>
      </c>
      <c r="AB10" s="57">
        <f>MAX(0,AA10-T10)</f>
        <v/>
      </c>
      <c r="AC10" s="58">
        <f>X10/260</f>
        <v/>
      </c>
      <c r="AD10" s="58">
        <f>AB10*AC10</f>
        <v/>
      </c>
    </row>
    <row r="11">
      <c r="A11" s="18" t="n">
        <v>4</v>
      </c>
      <c r="B11" s="59" t="n">
        <v>12484</v>
      </c>
      <c r="C11" s="60" t="n">
        <v>41883</v>
      </c>
      <c r="D11" s="52" t="n">
        <v>46171</v>
      </c>
      <c r="E11" s="18">
        <f>D11-C11</f>
        <v/>
      </c>
      <c r="F11" s="21">
        <f>DATEDIF(C11, D11, "y") &amp; " years, " &amp; DATEDIF(C11, D11, "ym") &amp; " months, " &amp; DATEDIF(C11, D11, "md") &amp; " days"</f>
        <v/>
      </c>
      <c r="G11" s="22">
        <f>DATEDIF(C11,D11,"Y") + DATEDIF(C11,D11,"YM")/12 + DATEDIF(C11,D11,"MD")/30/12</f>
        <v/>
      </c>
      <c r="H11" s="34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16">
        <f>SUM(H11:S11)</f>
        <v/>
      </c>
      <c r="U11" s="18" t="inlineStr">
        <is>
          <t>15 days left for the year</t>
        </is>
      </c>
      <c r="V11" s="53">
        <f>15-T11</f>
        <v/>
      </c>
      <c r="W11" s="53">
        <f>V11*8</f>
        <v/>
      </c>
      <c r="X11" s="61" t="n">
        <v>36411.04</v>
      </c>
      <c r="Y11" s="55">
        <f>IF(DATE(YEAR(D11),MONTH(C11),DAY(C11))&lt;=D11,DATE(YEAR(D11),MONTH(C11),DAY(C11)),DATE(YEAR(D11)-1,MONTH(C11),DAY(C11)))</f>
        <v/>
      </c>
      <c r="Z11" s="56">
        <f>D11-Y11+1</f>
        <v/>
      </c>
      <c r="AA11" s="57">
        <f>(Z11/365)*15</f>
        <v/>
      </c>
      <c r="AB11" s="57">
        <f>MAX(0,AA11-T11)</f>
        <v/>
      </c>
      <c r="AC11" s="58">
        <f>X11/260</f>
        <v/>
      </c>
      <c r="AD11" s="58">
        <f>AB11*AC11</f>
        <v/>
      </c>
    </row>
    <row r="12">
      <c r="A12" s="18" t="n">
        <v>5</v>
      </c>
      <c r="B12" s="59" t="n">
        <v>12032</v>
      </c>
      <c r="C12" s="60" t="n">
        <v>40910</v>
      </c>
      <c r="D12" s="52" t="n">
        <v>46171</v>
      </c>
      <c r="E12" s="18">
        <f>D12-C12</f>
        <v/>
      </c>
      <c r="F12" s="21">
        <f>DATEDIF(C12, D12, "y") &amp; " years, " &amp; DATEDIF(C12, D12, "ym") &amp; " months, " &amp; DATEDIF(C12, D12, "md") &amp; " days"</f>
        <v/>
      </c>
      <c r="G12" s="22">
        <f>DATEDIF(C12,D12,"Y") + DATEDIF(C12,D12,"YM")/12 + DATEDIF(C12,D12,"MD")/30/12</f>
        <v/>
      </c>
      <c r="H12" s="34" t="n"/>
      <c r="I12" s="3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16">
        <f>SUM(H12:S12)</f>
        <v/>
      </c>
      <c r="U12" s="18" t="inlineStr">
        <is>
          <t>15 days left for the year</t>
        </is>
      </c>
      <c r="V12" s="53">
        <f>15-T12</f>
        <v/>
      </c>
      <c r="W12" s="53">
        <f>V12*8</f>
        <v/>
      </c>
      <c r="X12" s="61" t="n">
        <v>36411.04</v>
      </c>
      <c r="Y12" s="55">
        <f>IF(DATE(YEAR(D12),MONTH(C12),DAY(C12))&lt;=D12,DATE(YEAR(D12),MONTH(C12),DAY(C12)),DATE(YEAR(D12)-1,MONTH(C12),DAY(C12)))</f>
        <v/>
      </c>
      <c r="Z12" s="56">
        <f>D12-Y12+1</f>
        <v/>
      </c>
      <c r="AA12" s="57">
        <f>(Z12/365)*15</f>
        <v/>
      </c>
      <c r="AB12" s="57">
        <f>MAX(0,AA12-T12)</f>
        <v/>
      </c>
      <c r="AC12" s="58">
        <f>X12/260</f>
        <v/>
      </c>
      <c r="AD12" s="58">
        <f>AB12*AC12</f>
        <v/>
      </c>
    </row>
    <row r="13">
      <c r="A13" s="18" t="n">
        <v>6</v>
      </c>
      <c r="B13" s="59" t="n">
        <v>12283</v>
      </c>
      <c r="C13" s="60" t="n">
        <v>41254</v>
      </c>
      <c r="D13" s="52" t="n">
        <v>46171</v>
      </c>
      <c r="E13" s="18">
        <f>D13-C13</f>
        <v/>
      </c>
      <c r="F13" s="21">
        <f>DATEDIF(C13, D13, "y") &amp; " years, " &amp; DATEDIF(C13, D13, "ym") &amp; " months, " &amp; DATEDIF(C13, D13, "md") &amp; " days"</f>
        <v/>
      </c>
      <c r="G13" s="22">
        <f>DATEDIF(C13,D13,"Y") + DATEDIF(C13,D13,"YM")/12 + DATEDIF(C13,D13,"MD")/30/12</f>
        <v/>
      </c>
      <c r="H13" s="34" t="n"/>
      <c r="I13" s="25" t="n"/>
      <c r="J13" s="25" t="n">
        <v>5</v>
      </c>
      <c r="K13" s="25" t="n">
        <v>2</v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16">
        <f>SUM(H13:S13)</f>
        <v/>
      </c>
      <c r="U13" s="18" t="inlineStr">
        <is>
          <t>8 days left for the year</t>
        </is>
      </c>
      <c r="V13" s="53">
        <f>15-T13</f>
        <v/>
      </c>
      <c r="W13" s="53">
        <f>V13*8</f>
        <v/>
      </c>
      <c r="X13" s="61" t="n">
        <v>36411.04</v>
      </c>
      <c r="Y13" s="55">
        <f>IF(DATE(YEAR(D13),MONTH(C13),DAY(C13))&lt;=D13,DATE(YEAR(D13),MONTH(C13),DAY(C13)),DATE(YEAR(D13)-1,MONTH(C13),DAY(C13)))</f>
        <v/>
      </c>
      <c r="Z13" s="56">
        <f>D13-Y13+1</f>
        <v/>
      </c>
      <c r="AA13" s="57">
        <f>(Z13/365)*15</f>
        <v/>
      </c>
      <c r="AB13" s="57">
        <f>MAX(0,AA13-T13)</f>
        <v/>
      </c>
      <c r="AC13" s="58">
        <f>X13/260</f>
        <v/>
      </c>
      <c r="AD13" s="58">
        <f>AB13*AC13</f>
        <v/>
      </c>
    </row>
    <row r="14">
      <c r="A14" s="18" t="n">
        <v>7</v>
      </c>
      <c r="B14" s="59" t="n">
        <v>12308</v>
      </c>
      <c r="C14" s="60" t="n">
        <v>41254</v>
      </c>
      <c r="D14" s="52" t="n">
        <v>46171</v>
      </c>
      <c r="E14" s="18">
        <f>D14-C14</f>
        <v/>
      </c>
      <c r="F14" s="21">
        <f>DATEDIF(C14, D14, "y") &amp; " years, " &amp; DATEDIF(C14, D14, "ym") &amp; " months, " &amp; DATEDIF(C14, D14, "md") &amp; " days"</f>
        <v/>
      </c>
      <c r="G14" s="22">
        <f>DATEDIF(C14,D14,"Y") + DATEDIF(C14,D14,"YM")/12 + DATEDIF(C14,D14,"MD")/30/12</f>
        <v/>
      </c>
      <c r="H14" s="34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16">
        <f>SUM(H14:S14)</f>
        <v/>
      </c>
      <c r="U14" s="18" t="inlineStr">
        <is>
          <t>15 days left for the year</t>
        </is>
      </c>
      <c r="V14" s="53">
        <f>15-T14</f>
        <v/>
      </c>
      <c r="W14" s="53">
        <f>V14*8</f>
        <v/>
      </c>
      <c r="X14" s="61" t="n">
        <v>36411.04</v>
      </c>
      <c r="Y14" s="55">
        <f>IF(DATE(YEAR(D14),MONTH(C14),DAY(C14))&lt;=D14,DATE(YEAR(D14),MONTH(C14),DAY(C14)),DATE(YEAR(D14)-1,MONTH(C14),DAY(C14)))</f>
        <v/>
      </c>
      <c r="Z14" s="56">
        <f>D14-Y14+1</f>
        <v/>
      </c>
      <c r="AA14" s="57">
        <f>(Z14/365)*15</f>
        <v/>
      </c>
      <c r="AB14" s="57">
        <f>MAX(0,AA14-T14)</f>
        <v/>
      </c>
      <c r="AC14" s="58">
        <f>X14/260</f>
        <v/>
      </c>
      <c r="AD14" s="58">
        <f>AB14*AC14</f>
        <v/>
      </c>
    </row>
    <row r="15">
      <c r="A15" s="18" t="n">
        <v>8</v>
      </c>
      <c r="B15" s="59" t="n">
        <v>1005544</v>
      </c>
      <c r="C15" s="60" t="n">
        <v>42322</v>
      </c>
      <c r="D15" s="52" t="n">
        <v>46171</v>
      </c>
      <c r="E15" s="18">
        <f>D15-C15</f>
        <v/>
      </c>
      <c r="F15" s="21">
        <f>DATEDIF(C15, D15, "y") &amp; " years, " &amp; DATEDIF(C15, D15, "ym") &amp; " months, " &amp; DATEDIF(C15, D15, "md") &amp; " days"</f>
        <v/>
      </c>
      <c r="G15" s="22">
        <f>DATEDIF(C15,D15,"Y") + DATEDIF(C15,D15,"YM")/12 + DATEDIF(C15,D15,"MD")/30/12</f>
        <v/>
      </c>
      <c r="H15" s="34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16">
        <f>SUM(H15:S15)</f>
        <v/>
      </c>
      <c r="U15" s="18" t="inlineStr">
        <is>
          <t>15 days left for the year</t>
        </is>
      </c>
      <c r="V15" s="53">
        <f>15-T15</f>
        <v/>
      </c>
      <c r="W15" s="53">
        <f>V15*8</f>
        <v/>
      </c>
      <c r="X15" s="61" t="n">
        <v>36411.04</v>
      </c>
      <c r="Y15" s="55">
        <f>IF(DATE(YEAR(D15),MONTH(C15),DAY(C15))&lt;=D15,DATE(YEAR(D15),MONTH(C15),DAY(C15)),DATE(YEAR(D15)-1,MONTH(C15),DAY(C15)))</f>
        <v/>
      </c>
      <c r="Z15" s="56">
        <f>D15-Y15+1</f>
        <v/>
      </c>
      <c r="AA15" s="57">
        <f>(Z15/365)*15</f>
        <v/>
      </c>
      <c r="AB15" s="57">
        <f>MAX(0,AA15-T15)</f>
        <v/>
      </c>
      <c r="AC15" s="58">
        <f>X15/260</f>
        <v/>
      </c>
      <c r="AD15" s="58">
        <f>AB15*AC15</f>
        <v/>
      </c>
    </row>
    <row r="16">
      <c r="A16" s="18" t="n">
        <v>9</v>
      </c>
      <c r="B16" s="59" t="n">
        <v>12460</v>
      </c>
      <c r="C16" s="60" t="n">
        <v>41709</v>
      </c>
      <c r="D16" s="52" t="n">
        <v>46171</v>
      </c>
      <c r="E16" s="18">
        <f>D16-C16</f>
        <v/>
      </c>
      <c r="F16" s="21">
        <f>DATEDIF(C16, D16, "y") &amp; " years, " &amp; DATEDIF(C16, D16, "ym") &amp; " months, " &amp; DATEDIF(C16, D16, "md") &amp; " days"</f>
        <v/>
      </c>
      <c r="G16" s="22">
        <f>DATEDIF(C16,D16,"Y") + DATEDIF(C16,D16,"YM")/12 + DATEDIF(C16,D16,"MD")/30/12</f>
        <v/>
      </c>
      <c r="H16" s="34" t="n"/>
      <c r="I16" s="25" t="n"/>
      <c r="J16" s="25" t="n">
        <v>14</v>
      </c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16">
        <f>SUM(H16:S16)</f>
        <v/>
      </c>
      <c r="U16" s="18" t="inlineStr">
        <is>
          <t xml:space="preserve">1 day left for the year </t>
        </is>
      </c>
      <c r="V16" s="53">
        <f>15-T16</f>
        <v/>
      </c>
      <c r="W16" s="53">
        <f>V16*8</f>
        <v/>
      </c>
      <c r="X16" s="61" t="n">
        <v>36411.04</v>
      </c>
      <c r="Y16" s="55">
        <f>IF(DATE(YEAR(D16),MONTH(C16),DAY(C16))&lt;=D16,DATE(YEAR(D16),MONTH(C16),DAY(C16)),DATE(YEAR(D16)-1,MONTH(C16),DAY(C16)))</f>
        <v/>
      </c>
      <c r="Z16" s="56">
        <f>D16-Y16+1</f>
        <v/>
      </c>
      <c r="AA16" s="57">
        <f>(Z16/365)*15</f>
        <v/>
      </c>
      <c r="AB16" s="57">
        <f>MAX(0,AA16-T16)</f>
        <v/>
      </c>
      <c r="AC16" s="58">
        <f>X16/260</f>
        <v/>
      </c>
      <c r="AD16" s="58">
        <f>AB16*AC16</f>
        <v/>
      </c>
    </row>
    <row r="17">
      <c r="A17" s="18" t="n">
        <v>10</v>
      </c>
      <c r="B17" s="59" t="n">
        <v>12137</v>
      </c>
      <c r="C17" s="60" t="n">
        <v>41303</v>
      </c>
      <c r="D17" s="52" t="n">
        <v>46171</v>
      </c>
      <c r="E17" s="18">
        <f>D17-C17</f>
        <v/>
      </c>
      <c r="F17" s="21">
        <f>DATEDIF(C17, D17, "y") &amp; " years, " &amp; DATEDIF(C17, D17, "ym") &amp; " months, " &amp; DATEDIF(C17, D17, "md") &amp; " days"</f>
        <v/>
      </c>
      <c r="G17" s="22">
        <f>DATEDIF(C17,D17,"Y") + DATEDIF(C17,D17,"YM")/12 + DATEDIF(C17,D17,"MD")/30/12</f>
        <v/>
      </c>
      <c r="H17" s="34" t="n"/>
      <c r="I17" s="3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16">
        <f>SUM(H17:S17)</f>
        <v/>
      </c>
      <c r="U17" s="18" t="inlineStr">
        <is>
          <t>15 days left for the year</t>
        </is>
      </c>
      <c r="V17" s="53">
        <f>15-T17</f>
        <v/>
      </c>
      <c r="W17" s="53">
        <f>V17*8</f>
        <v/>
      </c>
      <c r="X17" s="61" t="n">
        <v>36411.04</v>
      </c>
      <c r="Y17" s="55">
        <f>IF(DATE(YEAR(D17),MONTH(C17),DAY(C17))&lt;=D17,DATE(YEAR(D17),MONTH(C17),DAY(C17)),DATE(YEAR(D17)-1,MONTH(C17),DAY(C17)))</f>
        <v/>
      </c>
      <c r="Z17" s="56">
        <f>D17-Y17+1</f>
        <v/>
      </c>
      <c r="AA17" s="57">
        <f>(Z17/365)*15</f>
        <v/>
      </c>
      <c r="AB17" s="57">
        <f>MAX(0,AA17-T17)</f>
        <v/>
      </c>
      <c r="AC17" s="58">
        <f>X17/260</f>
        <v/>
      </c>
      <c r="AD17" s="58">
        <f>AB17*AC17</f>
        <v/>
      </c>
    </row>
    <row r="18">
      <c r="A18" s="18" t="n">
        <v>11</v>
      </c>
      <c r="B18" s="59" t="n">
        <v>7623</v>
      </c>
      <c r="C18" s="60" t="n">
        <v>44105</v>
      </c>
      <c r="D18" s="52" t="n">
        <v>46171</v>
      </c>
      <c r="E18" s="18">
        <f>D18-C18</f>
        <v/>
      </c>
      <c r="F18" s="21">
        <f>DATEDIF(C18, D18, "y") &amp; " years, " &amp; DATEDIF(C18, D18, "ym") &amp; " months, " &amp; DATEDIF(C18, D18, "md") &amp; " days"</f>
        <v/>
      </c>
      <c r="G18" s="22">
        <f>DATEDIF(C18,D18,"Y") + DATEDIF(C18,D18,"YM")/12 + DATEDIF(C18,D18,"MD")/30/12</f>
        <v/>
      </c>
      <c r="H18" s="34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16">
        <f>SUM(H18:S18)</f>
        <v/>
      </c>
      <c r="U18" s="18" t="inlineStr">
        <is>
          <t>15 days left for the year</t>
        </is>
      </c>
      <c r="V18" s="53">
        <f>15-T18</f>
        <v/>
      </c>
      <c r="W18" s="53">
        <f>V18*8</f>
        <v/>
      </c>
      <c r="X18" s="61" t="n">
        <v>36411.04</v>
      </c>
      <c r="Y18" s="55">
        <f>IF(DATE(YEAR(D18),MONTH(C18),DAY(C18))&lt;=D18,DATE(YEAR(D18),MONTH(C18),DAY(C18)),DATE(YEAR(D18)-1,MONTH(C18),DAY(C18)))</f>
        <v/>
      </c>
      <c r="Z18" s="56">
        <f>D18-Y18+1</f>
        <v/>
      </c>
      <c r="AA18" s="57">
        <f>(Z18/365)*15</f>
        <v/>
      </c>
      <c r="AB18" s="57">
        <f>MAX(0,AA18-T18)</f>
        <v/>
      </c>
      <c r="AC18" s="58">
        <f>X18/260</f>
        <v/>
      </c>
      <c r="AD18" s="58">
        <f>AB18*AC18</f>
        <v/>
      </c>
    </row>
    <row r="19">
      <c r="A19" s="18" t="n">
        <v>12</v>
      </c>
      <c r="B19" s="59" t="n">
        <v>12455</v>
      </c>
      <c r="C19" s="60" t="n">
        <v>41594</v>
      </c>
      <c r="D19" s="52" t="n">
        <v>46171</v>
      </c>
      <c r="E19" s="18">
        <f>D19-C19</f>
        <v/>
      </c>
      <c r="F19" s="21">
        <f>DATEDIF(C19, D19, "y") &amp; " years, " &amp; DATEDIF(C19, D19, "ym") &amp; " months, " &amp; DATEDIF(C19, D19, "md") &amp; " days"</f>
        <v/>
      </c>
      <c r="G19" s="22">
        <f>DATEDIF(C19,D19,"Y") + DATEDIF(C19,D19,"YM")/12 + DATEDIF(C19,D19,"MD")/30/12</f>
        <v/>
      </c>
      <c r="H19" s="34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16">
        <f>SUM(H19:S19)</f>
        <v/>
      </c>
      <c r="U19" s="18" t="inlineStr">
        <is>
          <t>15 days left for the year</t>
        </is>
      </c>
      <c r="V19" s="53">
        <f>15-T19</f>
        <v/>
      </c>
      <c r="W19" s="53">
        <f>V19*8</f>
        <v/>
      </c>
      <c r="X19" s="61" t="n">
        <v>36411.04</v>
      </c>
      <c r="Y19" s="55">
        <f>IF(DATE(YEAR(D19),MONTH(C19),DAY(C19))&lt;=D19,DATE(YEAR(D19),MONTH(C19),DAY(C19)),DATE(YEAR(D19)-1,MONTH(C19),DAY(C19)))</f>
        <v/>
      </c>
      <c r="Z19" s="56">
        <f>D19-Y19+1</f>
        <v/>
      </c>
      <c r="AA19" s="57">
        <f>(Z19/365)*15</f>
        <v/>
      </c>
      <c r="AB19" s="57">
        <f>MAX(0,AA19-T19)</f>
        <v/>
      </c>
      <c r="AC19" s="58">
        <f>X19/260</f>
        <v/>
      </c>
      <c r="AD19" s="58">
        <f>AB19*AC19</f>
        <v/>
      </c>
    </row>
    <row r="20">
      <c r="A20" s="18" t="n">
        <v>13</v>
      </c>
      <c r="B20" s="59" t="n">
        <v>12153</v>
      </c>
      <c r="C20" s="60" t="n">
        <v>40910</v>
      </c>
      <c r="D20" s="52" t="n">
        <v>46171</v>
      </c>
      <c r="E20" s="18">
        <f>D20-C20</f>
        <v/>
      </c>
      <c r="F20" s="21">
        <f>DATEDIF(C20, D20, "y") &amp; " years, " &amp; DATEDIF(C20, D20, "ym") &amp; " months, " &amp; DATEDIF(C20, D20, "md") &amp; " days"</f>
        <v/>
      </c>
      <c r="G20" s="22">
        <f>DATEDIF(C20,D20,"Y") + DATEDIF(C20,D20,"YM")/12 + DATEDIF(C20,D20,"MD")/30/12</f>
        <v/>
      </c>
      <c r="H20" s="34" t="n"/>
      <c r="I20" s="3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16" t="n">
        <v>0</v>
      </c>
      <c r="U20" s="18" t="inlineStr">
        <is>
          <t>15 days left for the year</t>
        </is>
      </c>
      <c r="V20" s="53">
        <f>15-T20</f>
        <v/>
      </c>
      <c r="W20" s="53">
        <f>V20*8</f>
        <v/>
      </c>
      <c r="X20" s="61" t="n">
        <v>36411.04</v>
      </c>
      <c r="Y20" s="55">
        <f>IF(DATE(YEAR(D20),MONTH(C20),DAY(C20))&lt;=D20,DATE(YEAR(D20),MONTH(C20),DAY(C20)),DATE(YEAR(D20)-1,MONTH(C20),DAY(C20)))</f>
        <v/>
      </c>
      <c r="Z20" s="56">
        <f>D20-Y20+1</f>
        <v/>
      </c>
      <c r="AA20" s="57">
        <f>(Z20/365)*15</f>
        <v/>
      </c>
      <c r="AB20" s="57">
        <f>MAX(0,AA20-T20)</f>
        <v/>
      </c>
      <c r="AC20" s="58">
        <f>X20/260</f>
        <v/>
      </c>
      <c r="AD20" s="58">
        <f>AB20*AC20</f>
        <v/>
      </c>
    </row>
    <row r="21">
      <c r="A21" s="18" t="n">
        <v>14</v>
      </c>
      <c r="B21" s="59" t="n">
        <v>12479</v>
      </c>
      <c r="C21" s="60" t="n">
        <v>41806</v>
      </c>
      <c r="D21" s="52" t="n">
        <v>46171</v>
      </c>
      <c r="E21" s="18">
        <f>D21-C21</f>
        <v/>
      </c>
      <c r="F21" s="21">
        <f>DATEDIF(C21, D21, "y") &amp; " years, " &amp; DATEDIF(C21, D21, "ym") &amp; " months, " &amp; DATEDIF(C21, D21, "md") &amp; " days"</f>
        <v/>
      </c>
      <c r="G21" s="22">
        <f>DATEDIF(C21,D21,"Y") + DATEDIF(C21,D21,"YM")/12 + DATEDIF(C21,D21,"MD")/30/12</f>
        <v/>
      </c>
      <c r="H21" s="34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16">
        <f>SUM(H21:S21)</f>
        <v/>
      </c>
      <c r="U21" s="18" t="inlineStr">
        <is>
          <t>15 days left for the year</t>
        </is>
      </c>
      <c r="V21" s="53">
        <f>15-T21</f>
        <v/>
      </c>
      <c r="W21" s="53">
        <f>V21*8</f>
        <v/>
      </c>
      <c r="X21" s="61" t="n">
        <v>36411.04</v>
      </c>
      <c r="Y21" s="55">
        <f>IF(DATE(YEAR(D21),MONTH(C21),DAY(C21))&lt;=D21,DATE(YEAR(D21),MONTH(C21),DAY(C21)),DATE(YEAR(D21)-1,MONTH(C21),DAY(C21)))</f>
        <v/>
      </c>
      <c r="Z21" s="56">
        <f>D21-Y21+1</f>
        <v/>
      </c>
      <c r="AA21" s="57">
        <f>(Z21/365)*15</f>
        <v/>
      </c>
      <c r="AB21" s="57">
        <f>MAX(0,AA21-T21)</f>
        <v/>
      </c>
      <c r="AC21" s="58">
        <f>X21/260</f>
        <v/>
      </c>
      <c r="AD21" s="58">
        <f>AB21*AC21</f>
        <v/>
      </c>
    </row>
    <row r="22">
      <c r="A22" s="18" t="n">
        <v>15</v>
      </c>
      <c r="B22" s="59" t="n">
        <v>12465</v>
      </c>
      <c r="C22" s="60" t="n">
        <v>41641</v>
      </c>
      <c r="D22" s="52" t="n">
        <v>46171</v>
      </c>
      <c r="E22" s="18">
        <f>D22-C22</f>
        <v/>
      </c>
      <c r="F22" s="21">
        <f>DATEDIF(C22, D22, "y") &amp; " years, " &amp; DATEDIF(C22, D22, "ym") &amp; " months, " &amp; DATEDIF(C22, D22, "md") &amp; " days"</f>
        <v/>
      </c>
      <c r="G22" s="22">
        <f>DATEDIF(C22,D22,"Y") + DATEDIF(C22,D22,"YM")/12 + DATEDIF(C22,D22,"MD")/30/12</f>
        <v/>
      </c>
      <c r="H22" s="34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16">
        <f>SUM(H22:S22)</f>
        <v/>
      </c>
      <c r="U22" s="18" t="inlineStr">
        <is>
          <t>15 days left for the year</t>
        </is>
      </c>
      <c r="V22" s="53">
        <f>15-T22</f>
        <v/>
      </c>
      <c r="W22" s="53">
        <f>V22*8</f>
        <v/>
      </c>
      <c r="X22" s="61" t="n">
        <v>36411.04</v>
      </c>
      <c r="Y22" s="55">
        <f>IF(DATE(YEAR(D22),MONTH(C22),DAY(C22))&lt;=D22,DATE(YEAR(D22),MONTH(C22),DAY(C22)),DATE(YEAR(D22)-1,MONTH(C22),DAY(C22)))</f>
        <v/>
      </c>
      <c r="Z22" s="56">
        <f>D22-Y22+1</f>
        <v/>
      </c>
      <c r="AA22" s="57">
        <f>(Z22/365)*15</f>
        <v/>
      </c>
      <c r="AB22" s="57">
        <f>MAX(0,AA22-T22)</f>
        <v/>
      </c>
      <c r="AC22" s="58">
        <f>X22/260</f>
        <v/>
      </c>
      <c r="AD22" s="58">
        <f>AB22*AC22</f>
        <v/>
      </c>
    </row>
    <row r="23">
      <c r="A23" s="18" t="n">
        <v>16</v>
      </c>
      <c r="B23" s="59" t="n">
        <v>12530</v>
      </c>
      <c r="C23" s="60" t="n">
        <v>41641</v>
      </c>
      <c r="D23" s="52" t="n">
        <v>46171</v>
      </c>
      <c r="E23" s="18">
        <f>D23-C23</f>
        <v/>
      </c>
      <c r="F23" s="21">
        <f>DATEDIF(C23, D23, "y") &amp; " years, " &amp; DATEDIF(C23, D23, "ym") &amp; " months, " &amp; DATEDIF(C23, D23, "md") &amp; " days"</f>
        <v/>
      </c>
      <c r="G23" s="22">
        <f>DATEDIF(C23,D23,"Y") + DATEDIF(C23,D23,"YM")/12 + DATEDIF(C23,D23,"MD")/30/12</f>
        <v/>
      </c>
      <c r="H23" s="34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16">
        <f>SUM(H23:S23)</f>
        <v/>
      </c>
      <c r="U23" s="18" t="inlineStr">
        <is>
          <t>15 days left for the year</t>
        </is>
      </c>
      <c r="V23" s="53">
        <f>15-T23</f>
        <v/>
      </c>
      <c r="W23" s="53">
        <f>V23*8</f>
        <v/>
      </c>
      <c r="X23" s="61" t="n">
        <v>36411.04</v>
      </c>
      <c r="Y23" s="55">
        <f>IF(DATE(YEAR(D23),MONTH(C23),DAY(C23))&lt;=D23,DATE(YEAR(D23),MONTH(C23),DAY(C23)),DATE(YEAR(D23)-1,MONTH(C23),DAY(C23)))</f>
        <v/>
      </c>
      <c r="Z23" s="56">
        <f>D23-Y23+1</f>
        <v/>
      </c>
      <c r="AA23" s="57">
        <f>(Z23/365)*15</f>
        <v/>
      </c>
      <c r="AB23" s="57">
        <f>MAX(0,AA23-T23)</f>
        <v/>
      </c>
      <c r="AC23" s="58">
        <f>X23/260</f>
        <v/>
      </c>
      <c r="AD23" s="58">
        <f>AB23*AC23</f>
        <v/>
      </c>
    </row>
    <row r="24">
      <c r="A24" s="18" t="n">
        <v>17</v>
      </c>
      <c r="B24" s="59" t="n">
        <v>12378</v>
      </c>
      <c r="C24" s="60" t="n">
        <v>42303</v>
      </c>
      <c r="D24" s="52" t="n">
        <v>46171</v>
      </c>
      <c r="E24" s="18">
        <f>D24-C24</f>
        <v/>
      </c>
      <c r="F24" s="21">
        <f>DATEDIF(C24, D24, "y") &amp; " years, " &amp; DATEDIF(C24, D24, "ym") &amp; " months, " &amp; DATEDIF(C24, D24, "md") &amp; " days"</f>
        <v/>
      </c>
      <c r="G24" s="22">
        <f>DATEDIF(C24,D24,"Y") + DATEDIF(C24,D24,"YM")/12 + DATEDIF(C24,D24,"MD")/30/12</f>
        <v/>
      </c>
      <c r="H24" s="34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16">
        <f>SUM(H24:S24)</f>
        <v/>
      </c>
      <c r="U24" s="18" t="inlineStr">
        <is>
          <t>15 days left for the year</t>
        </is>
      </c>
      <c r="V24" s="53">
        <f>15-T24</f>
        <v/>
      </c>
      <c r="W24" s="53">
        <f>V24*8</f>
        <v/>
      </c>
      <c r="X24" s="61" t="n">
        <v>36411.04</v>
      </c>
      <c r="Y24" s="55">
        <f>IF(DATE(YEAR(D24),MONTH(C24),DAY(C24))&lt;=D24,DATE(YEAR(D24),MONTH(C24),DAY(C24)),DATE(YEAR(D24)-1,MONTH(C24),DAY(C24)))</f>
        <v/>
      </c>
      <c r="Z24" s="56">
        <f>D24-Y24+1</f>
        <v/>
      </c>
      <c r="AA24" s="57">
        <f>(Z24/365)*15</f>
        <v/>
      </c>
      <c r="AB24" s="57">
        <f>MAX(0,AA24-T24)</f>
        <v/>
      </c>
      <c r="AC24" s="58">
        <f>X24/260</f>
        <v/>
      </c>
      <c r="AD24" s="58">
        <f>AB24*AC24</f>
        <v/>
      </c>
    </row>
    <row r="25">
      <c r="A25" s="18" t="n">
        <v>18</v>
      </c>
      <c r="B25" s="59" t="n">
        <v>12400</v>
      </c>
      <c r="C25" s="60" t="n">
        <v>40910</v>
      </c>
      <c r="D25" s="52" t="n">
        <v>46171</v>
      </c>
      <c r="E25" s="18">
        <f>D25-C25</f>
        <v/>
      </c>
      <c r="F25" s="21">
        <f>DATEDIF(C25, D25, "y") &amp; " years, " &amp; DATEDIF(C25, D25, "ym") &amp; " months, " &amp; DATEDIF(C25, D25, "md") &amp; " days"</f>
        <v/>
      </c>
      <c r="G25" s="22">
        <f>DATEDIF(C25,D25,"Y") + DATEDIF(C25,D25,"YM")/12 + DATEDIF(C25,D25,"MD")/30/12</f>
        <v/>
      </c>
      <c r="H25" s="34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16">
        <f>SUM(H25:S25)</f>
        <v/>
      </c>
      <c r="U25" s="18" t="inlineStr">
        <is>
          <t>15 days left for the year</t>
        </is>
      </c>
      <c r="V25" s="53">
        <f>15-T25</f>
        <v/>
      </c>
      <c r="W25" s="53">
        <f>V25*8</f>
        <v/>
      </c>
      <c r="X25" s="61" t="n">
        <v>36411.04</v>
      </c>
      <c r="Y25" s="55">
        <f>IF(DATE(YEAR(D25),MONTH(C25),DAY(C25))&lt;=D25,DATE(YEAR(D25),MONTH(C25),DAY(C25)),DATE(YEAR(D25)-1,MONTH(C25),DAY(C25)))</f>
        <v/>
      </c>
      <c r="Z25" s="56">
        <f>D25-Y25+1</f>
        <v/>
      </c>
      <c r="AA25" s="57">
        <f>(Z25/365)*15</f>
        <v/>
      </c>
      <c r="AB25" s="57">
        <f>MAX(0,AA25-T25)</f>
        <v/>
      </c>
      <c r="AC25" s="58">
        <f>X25/260</f>
        <v/>
      </c>
      <c r="AD25" s="58">
        <f>AB25*AC25</f>
        <v/>
      </c>
    </row>
    <row r="26">
      <c r="A26" s="18" t="n">
        <v>19</v>
      </c>
      <c r="B26" s="59" t="n">
        <v>12408</v>
      </c>
      <c r="C26" s="60" t="n">
        <v>41765</v>
      </c>
      <c r="D26" s="52" t="n">
        <v>46171</v>
      </c>
      <c r="E26" s="18">
        <f>D26-C26</f>
        <v/>
      </c>
      <c r="F26" s="21">
        <f>DATEDIF(C26, D26, "y") &amp; " years, " &amp; DATEDIF(C26, D26, "ym") &amp; " months, " &amp; DATEDIF(C26, D26, "md") &amp; " days"</f>
        <v/>
      </c>
      <c r="G26" s="22">
        <f>DATEDIF(C26,D26,"Y") + DATEDIF(C26,D26,"YM")/12 + DATEDIF(C26,D26,"MD")/30/12</f>
        <v/>
      </c>
      <c r="H26" s="34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16">
        <f>SUM(H26:S26)</f>
        <v/>
      </c>
      <c r="U26" s="18" t="inlineStr">
        <is>
          <t>15 days left for the year</t>
        </is>
      </c>
      <c r="V26" s="53">
        <f>15-T26</f>
        <v/>
      </c>
      <c r="W26" s="53">
        <f>V26*8</f>
        <v/>
      </c>
      <c r="X26" s="61" t="n">
        <v>36411.04</v>
      </c>
      <c r="Y26" s="55">
        <f>IF(DATE(YEAR(D26),MONTH(C26),DAY(C26))&lt;=D26,DATE(YEAR(D26),MONTH(C26),DAY(C26)),DATE(YEAR(D26)-1,MONTH(C26),DAY(C26)))</f>
        <v/>
      </c>
      <c r="Z26" s="56">
        <f>D26-Y26+1</f>
        <v/>
      </c>
      <c r="AA26" s="57">
        <f>(Z26/365)*15</f>
        <v/>
      </c>
      <c r="AB26" s="57">
        <f>MAX(0,AA26-T26)</f>
        <v/>
      </c>
      <c r="AC26" s="58">
        <f>X26/260</f>
        <v/>
      </c>
      <c r="AD26" s="58">
        <f>AB26*AC26</f>
        <v/>
      </c>
    </row>
    <row r="27">
      <c r="A27" s="18" t="n">
        <v>20</v>
      </c>
      <c r="B27" s="59" t="n">
        <v>12454</v>
      </c>
      <c r="C27" s="60" t="n">
        <v>41594</v>
      </c>
      <c r="D27" s="52" t="n">
        <v>46171</v>
      </c>
      <c r="E27" s="18">
        <f>D27-C27</f>
        <v/>
      </c>
      <c r="F27" s="21">
        <f>DATEDIF(C27, D27, "y") &amp; " years, " &amp; DATEDIF(C27, D27, "ym") &amp; " months, " &amp; DATEDIF(C27, D27, "md") &amp; " days"</f>
        <v/>
      </c>
      <c r="G27" s="22">
        <f>DATEDIF(C27,D27,"Y") + DATEDIF(C27,D27,"YM")/12 + DATEDIF(C27,D27,"MD")/30/12</f>
        <v/>
      </c>
      <c r="H27" s="34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16">
        <f>SUM(H27:S27)</f>
        <v/>
      </c>
      <c r="U27" s="18" t="inlineStr">
        <is>
          <t>15 days left for the year</t>
        </is>
      </c>
      <c r="V27" s="53">
        <f>15-T27</f>
        <v/>
      </c>
      <c r="W27" s="53">
        <f>V27*8</f>
        <v/>
      </c>
      <c r="X27" s="61" t="n">
        <v>36411.04</v>
      </c>
      <c r="Y27" s="55">
        <f>IF(DATE(YEAR(D27),MONTH(C27),DAY(C27))&lt;=D27,DATE(YEAR(D27),MONTH(C27),DAY(C27)),DATE(YEAR(D27)-1,MONTH(C27),DAY(C27)))</f>
        <v/>
      </c>
      <c r="Z27" s="56">
        <f>D27-Y27+1</f>
        <v/>
      </c>
      <c r="AA27" s="57">
        <f>(Z27/365)*15</f>
        <v/>
      </c>
      <c r="AB27" s="57">
        <f>MAX(0,AA27-T27)</f>
        <v/>
      </c>
      <c r="AC27" s="58">
        <f>X27/260</f>
        <v/>
      </c>
      <c r="AD27" s="58">
        <f>AB27*AC27</f>
        <v/>
      </c>
    </row>
    <row r="28">
      <c r="A28" s="18" t="n">
        <v>21</v>
      </c>
      <c r="B28" s="59" t="n">
        <v>12295</v>
      </c>
      <c r="C28" s="60" t="n">
        <v>41765</v>
      </c>
      <c r="D28" s="52" t="n">
        <v>46171</v>
      </c>
      <c r="E28" s="18">
        <f>D28-C28</f>
        <v/>
      </c>
      <c r="F28" s="21">
        <f>DATEDIF(C28, D28, "y") &amp; " years, " &amp; DATEDIF(C28, D28, "ym") &amp; " months, " &amp; DATEDIF(C28, D28, "md") &amp; " days"</f>
        <v/>
      </c>
      <c r="G28" s="22">
        <f>DATEDIF(C28,D28,"Y") + DATEDIF(C28,D28,"YM")/12 + DATEDIF(C28,D28,"MD")/30/12</f>
        <v/>
      </c>
      <c r="H28" s="34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16">
        <f>SUM(H28:S28)</f>
        <v/>
      </c>
      <c r="U28" s="18" t="inlineStr">
        <is>
          <t>15 days left for the year</t>
        </is>
      </c>
      <c r="V28" s="53">
        <f>15-T28</f>
        <v/>
      </c>
      <c r="W28" s="53">
        <f>V28*8</f>
        <v/>
      </c>
      <c r="X28" s="62" t="n">
        <v>51556.12</v>
      </c>
      <c r="Y28" s="55">
        <f>IF(DATE(YEAR(D28),MONTH(C28),DAY(C28))&lt;=D28,DATE(YEAR(D28),MONTH(C28),DAY(C28)),DATE(YEAR(D28)-1,MONTH(C28),DAY(C28)))</f>
        <v/>
      </c>
      <c r="Z28" s="56">
        <f>D28-Y28+1</f>
        <v/>
      </c>
      <c r="AA28" s="57">
        <f>(Z28/365)*15</f>
        <v/>
      </c>
      <c r="AB28" s="57">
        <f>MAX(0,AA28-T28)</f>
        <v/>
      </c>
      <c r="AC28" s="58">
        <f>X28/260</f>
        <v/>
      </c>
      <c r="AD28" s="58">
        <f>AB28*AC28</f>
        <v/>
      </c>
    </row>
    <row r="29">
      <c r="A29" s="18" t="n">
        <v>22</v>
      </c>
      <c r="B29" s="59" t="n">
        <v>1006054</v>
      </c>
      <c r="C29" s="60" t="n">
        <v>43526</v>
      </c>
      <c r="D29" s="52" t="n">
        <v>46171</v>
      </c>
      <c r="E29" s="18">
        <f>D29-C29</f>
        <v/>
      </c>
      <c r="F29" s="21">
        <f>DATEDIF(C29, D29, "y") &amp; " years, " &amp; DATEDIF(C29, D29, "ym") &amp; " months, " &amp; DATEDIF(C29, D29, "md") &amp; " days"</f>
        <v/>
      </c>
      <c r="G29" s="22">
        <f>DATEDIF(C29,D29,"Y") + DATEDIF(C29,D29,"YM")/12 + DATEDIF(C29,D29,"MD")/30/12</f>
        <v/>
      </c>
      <c r="H29" s="34" t="n"/>
      <c r="I29" s="25" t="n">
        <v>7</v>
      </c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16">
        <f>SUM(H29:S29)</f>
        <v/>
      </c>
      <c r="U29" s="18" t="inlineStr">
        <is>
          <t>8 days left for the year</t>
        </is>
      </c>
      <c r="V29" s="53">
        <f>15-T29</f>
        <v/>
      </c>
      <c r="W29" s="53">
        <f>V29*8</f>
        <v/>
      </c>
      <c r="X29" s="62" t="n">
        <v>51556.12</v>
      </c>
      <c r="Y29" s="55">
        <f>IF(DATE(YEAR(D29),MONTH(C29),DAY(C29))&lt;=D29,DATE(YEAR(D29),MONTH(C29),DAY(C29)),DATE(YEAR(D29)-1,MONTH(C29),DAY(C29)))</f>
        <v/>
      </c>
      <c r="Z29" s="56">
        <f>D29-Y29+1</f>
        <v/>
      </c>
      <c r="AA29" s="57">
        <f>(Z29/365)*15</f>
        <v/>
      </c>
      <c r="AB29" s="57">
        <f>MAX(0,AA29-T29)</f>
        <v/>
      </c>
      <c r="AC29" s="58">
        <f>X29/260</f>
        <v/>
      </c>
      <c r="AD29" s="58">
        <f>AB29*AC29</f>
        <v/>
      </c>
    </row>
    <row r="30">
      <c r="A30" s="18" t="n">
        <v>23</v>
      </c>
      <c r="B30" s="59" t="n">
        <v>12669</v>
      </c>
      <c r="C30" s="60" t="n">
        <v>39356</v>
      </c>
      <c r="D30" s="52" t="n">
        <v>46171</v>
      </c>
      <c r="E30" s="18">
        <f>D30-C30</f>
        <v/>
      </c>
      <c r="F30" s="21">
        <f>DATEDIF(C30, D30, "y") &amp; " years, " &amp; DATEDIF(C30, D30, "ym") &amp; " months, " &amp; DATEDIF(C30, D30, "md") &amp; " days"</f>
        <v/>
      </c>
      <c r="G30" s="39">
        <f>DATEDIF(C30,D30,"Y") + DATEDIF(C30,D30,"YM")/12 + DATEDIF(C30,D30,"MD")/30/12</f>
        <v/>
      </c>
      <c r="H30" s="34" t="n"/>
      <c r="I30" s="25" t="n">
        <v>1</v>
      </c>
      <c r="J30" s="25" t="n"/>
      <c r="K30" s="25" t="n">
        <v>1</v>
      </c>
      <c r="L30" s="25" t="n"/>
      <c r="M30" s="25" t="n"/>
      <c r="N30" s="25" t="n"/>
      <c r="O30" s="25" t="n"/>
      <c r="P30" s="25" t="n"/>
      <c r="Q30" s="25" t="n"/>
      <c r="R30" s="25" t="n"/>
      <c r="S30" s="25" t="n"/>
      <c r="T30" s="16">
        <f>SUM(H30:S30)</f>
        <v/>
      </c>
      <c r="U30" s="18" t="inlineStr">
        <is>
          <t>13 days left for the year</t>
        </is>
      </c>
      <c r="V30" s="63">
        <f>15-T30</f>
        <v/>
      </c>
      <c r="W30" s="63">
        <f>V30*8</f>
        <v/>
      </c>
      <c r="X30" s="41" t="n">
        <v>36411.04</v>
      </c>
      <c r="Y30" s="55">
        <f>IF(DATE(YEAR(D30),MONTH(C30),DAY(C30))&lt;=D30,DATE(YEAR(D30),MONTH(C30),DAY(C30)),DATE(YEAR(D30)-1,MONTH(C30),DAY(C30)))</f>
        <v/>
      </c>
      <c r="Z30" s="56">
        <f>D30-Y30+1</f>
        <v/>
      </c>
      <c r="AA30" s="57">
        <f>(Z30/365)*15</f>
        <v/>
      </c>
      <c r="AB30" s="57">
        <f>MAX(0,AA30-T30)</f>
        <v/>
      </c>
      <c r="AC30" s="58">
        <f>X30/260</f>
        <v/>
      </c>
      <c r="AD30" s="58">
        <f>AB30*AC30</f>
        <v/>
      </c>
    </row>
    <row r="31">
      <c r="A31" s="18" t="n">
        <v>24</v>
      </c>
      <c r="B31" s="59" t="n">
        <v>12670</v>
      </c>
      <c r="C31" s="60" t="n">
        <v>39356</v>
      </c>
      <c r="D31" s="52" t="n">
        <v>46171</v>
      </c>
      <c r="E31" s="18">
        <f>D31-C31</f>
        <v/>
      </c>
      <c r="F31" s="21">
        <f>DATEDIF(C31, D31, "y") &amp; " years, " &amp; DATEDIF(C31, D31, "ym") &amp; " months, " &amp; DATEDIF(C31, D31, "md") &amp; " days"</f>
        <v/>
      </c>
      <c r="G31" s="39">
        <f>DATEDIF(C31,D31,"Y") + DATEDIF(C31,D31,"YM")/12 + DATEDIF(C31,D31,"MD")/30/12</f>
        <v/>
      </c>
      <c r="H31" s="34" t="n"/>
      <c r="I31" s="25" t="n">
        <v>1</v>
      </c>
      <c r="J31" s="25" t="n"/>
      <c r="K31" s="25" t="n">
        <v>1</v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16">
        <f>SUM(H31:S31)</f>
        <v/>
      </c>
      <c r="U31" s="18" t="inlineStr">
        <is>
          <t>13 days left for the year</t>
        </is>
      </c>
      <c r="V31" s="63">
        <f>15-T31</f>
        <v/>
      </c>
      <c r="W31" s="63">
        <f>V31*8</f>
        <v/>
      </c>
      <c r="X31" s="41" t="n">
        <v>36411.04</v>
      </c>
      <c r="Y31" s="55">
        <f>IF(DATE(YEAR(D31),MONTH(C31),DAY(C31))&lt;=D31,DATE(YEAR(D31),MONTH(C31),DAY(C31)),DATE(YEAR(D31)-1,MONTH(C31),DAY(C31)))</f>
        <v/>
      </c>
      <c r="Z31" s="56">
        <f>D31-Y31+1</f>
        <v/>
      </c>
      <c r="AA31" s="57">
        <f>(Z31/365)*15</f>
        <v/>
      </c>
      <c r="AB31" s="57">
        <f>MAX(0,AA31-T31)</f>
        <v/>
      </c>
      <c r="AC31" s="58">
        <f>X31/260</f>
        <v/>
      </c>
      <c r="AD31" s="58">
        <f>AB31*AC31</f>
        <v/>
      </c>
    </row>
    <row r="32">
      <c r="A32" s="18" t="n">
        <v>25</v>
      </c>
      <c r="B32" s="59" t="n">
        <v>12679</v>
      </c>
      <c r="C32" s="60" t="n">
        <v>39997</v>
      </c>
      <c r="D32" s="52" t="n">
        <v>46171</v>
      </c>
      <c r="E32" s="18">
        <f>D32-C32</f>
        <v/>
      </c>
      <c r="F32" s="21">
        <f>DATEDIF(C32, D32, "y") &amp; " years, " &amp; DATEDIF(C32, D32, "ym") &amp; " months, " &amp; DATEDIF(C32, D32, "md") &amp; " days"</f>
        <v/>
      </c>
      <c r="G32" s="39">
        <f>DATEDIF(C32,D32,"Y") + DATEDIF(C32,D32,"YM")/12 + DATEDIF(C32,D32,"MD")/30/12</f>
        <v/>
      </c>
      <c r="H32" s="34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16" t="n">
        <v>0</v>
      </c>
      <c r="U32" s="18" t="inlineStr">
        <is>
          <t>15 days left for the year</t>
        </is>
      </c>
      <c r="V32" s="63">
        <f>15-T32</f>
        <v/>
      </c>
      <c r="W32" s="63">
        <f>V32*8</f>
        <v/>
      </c>
      <c r="X32" s="41" t="n">
        <v>36411.04</v>
      </c>
      <c r="Y32" s="55">
        <f>IF(DATE(YEAR(D32),MONTH(C32),DAY(C32))&lt;=D32,DATE(YEAR(D32),MONTH(C32),DAY(C32)),DATE(YEAR(D32)-1,MONTH(C32),DAY(C32)))</f>
        <v/>
      </c>
      <c r="Z32" s="56">
        <f>D32-Y32+1</f>
        <v/>
      </c>
      <c r="AA32" s="57">
        <f>(Z32/365)*15</f>
        <v/>
      </c>
      <c r="AB32" s="57">
        <f>MAX(0,AA32-T32)</f>
        <v/>
      </c>
      <c r="AC32" s="58">
        <f>X32/260</f>
        <v/>
      </c>
      <c r="AD32" s="58">
        <f>AB32*AC32</f>
        <v/>
      </c>
    </row>
    <row r="33">
      <c r="A33" s="18" t="n">
        <v>26</v>
      </c>
      <c r="B33" s="59" t="n">
        <v>12674</v>
      </c>
      <c r="C33" s="60" t="n">
        <v>39449</v>
      </c>
      <c r="D33" s="52" t="n">
        <v>46171</v>
      </c>
      <c r="E33" s="18">
        <f>D33-C33</f>
        <v/>
      </c>
      <c r="F33" s="21">
        <f>DATEDIF(C33, D33, "y") &amp; " years, " &amp; DATEDIF(C33, D33, "ym") &amp; " months, " &amp; DATEDIF(C33, D33, "md") &amp; " days"</f>
        <v/>
      </c>
      <c r="G33" s="39">
        <f>DATEDIF(C33,D33,"Y") + DATEDIF(C33,D33,"YM")/12 + DATEDIF(C33,D33,"MD")/30/12</f>
        <v/>
      </c>
      <c r="H33" s="34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16">
        <f>SUM(H33:S33)</f>
        <v/>
      </c>
      <c r="U33" s="18" t="inlineStr">
        <is>
          <t>15 days left for the year</t>
        </is>
      </c>
      <c r="V33" s="63">
        <f>15-T33</f>
        <v/>
      </c>
      <c r="W33" s="63">
        <f>V33*8</f>
        <v/>
      </c>
      <c r="X33" s="41" t="n">
        <v>36411.04</v>
      </c>
      <c r="Y33" s="55">
        <f>IF(DATE(YEAR(D33),MONTH(C33),DAY(C33))&lt;=D33,DATE(YEAR(D33),MONTH(C33),DAY(C33)),DATE(YEAR(D33)-1,MONTH(C33),DAY(C33)))</f>
        <v/>
      </c>
      <c r="Z33" s="56">
        <f>D33-Y33+1</f>
        <v/>
      </c>
      <c r="AA33" s="57">
        <f>(Z33/365)*15</f>
        <v/>
      </c>
      <c r="AB33" s="57">
        <f>MAX(0,AA33-T33)</f>
        <v/>
      </c>
      <c r="AC33" s="58">
        <f>X33/260</f>
        <v/>
      </c>
      <c r="AD33" s="58">
        <f>AB33*AC33</f>
        <v/>
      </c>
    </row>
    <row r="34">
      <c r="A34" s="18" t="n">
        <v>27</v>
      </c>
      <c r="B34" s="59" t="n">
        <v>12678</v>
      </c>
      <c r="C34" s="60" t="n">
        <v>39968</v>
      </c>
      <c r="D34" s="52" t="n">
        <v>46171</v>
      </c>
      <c r="E34" s="18">
        <f>D34-C34</f>
        <v/>
      </c>
      <c r="F34" s="21">
        <f>DATEDIF(C34, D34, "y") &amp; " years, " &amp; DATEDIF(C34, D34, "ym") &amp; " months, " &amp; DATEDIF(C34, D34, "md") &amp; " days"</f>
        <v/>
      </c>
      <c r="G34" s="39">
        <f>DATEDIF(C34,D34,"Y") + DATEDIF(C34,D34,"YM")/12 + DATEDIF(C34,D34,"MD")/30/12</f>
        <v/>
      </c>
      <c r="H34" s="34" t="n"/>
      <c r="I34" s="25" t="n"/>
      <c r="J34" s="25" t="n">
        <v>1</v>
      </c>
      <c r="K34" s="25" t="n">
        <v>2</v>
      </c>
      <c r="L34" s="25" t="n"/>
      <c r="M34" s="25" t="n"/>
      <c r="N34" s="25" t="n"/>
      <c r="O34" s="25" t="n"/>
      <c r="P34" s="25" t="n"/>
      <c r="Q34" s="25" t="n"/>
      <c r="R34" s="25" t="n"/>
      <c r="S34" s="25" t="n"/>
      <c r="T34" s="16">
        <f>SUM(H34:S34)</f>
        <v/>
      </c>
      <c r="U34" s="18" t="inlineStr">
        <is>
          <t>12 days left for the year</t>
        </is>
      </c>
      <c r="V34" s="53">
        <f>15-T34</f>
        <v/>
      </c>
      <c r="W34" s="53">
        <f>V34*8</f>
        <v/>
      </c>
      <c r="X34" s="42" t="n">
        <v>36411.04</v>
      </c>
      <c r="Y34" s="55">
        <f>IF(DATE(YEAR(D34),MONTH(C34),DAY(C34))&lt;=D34,DATE(YEAR(D34),MONTH(C34),DAY(C34)),DATE(YEAR(D34)-1,MONTH(C34),DAY(C34)))</f>
        <v/>
      </c>
      <c r="Z34" s="56">
        <f>D34-Y34+1</f>
        <v/>
      </c>
      <c r="AA34" s="57">
        <f>(Z34/365)*15</f>
        <v/>
      </c>
      <c r="AB34" s="57">
        <f>MAX(0,AA34-T34)</f>
        <v/>
      </c>
      <c r="AC34" s="58">
        <f>X34/260</f>
        <v/>
      </c>
      <c r="AD34" s="58">
        <f>AB34*AC34</f>
        <v/>
      </c>
    </row>
    <row r="35">
      <c r="A35" s="18" t="n">
        <v>28</v>
      </c>
      <c r="B35" s="59" t="n">
        <v>12667</v>
      </c>
      <c r="C35" s="60" t="n">
        <v>39356</v>
      </c>
      <c r="D35" s="52" t="n">
        <v>46171</v>
      </c>
      <c r="E35" s="18">
        <f>D35-C35</f>
        <v/>
      </c>
      <c r="F35" s="21">
        <f>DATEDIF(C35, D35, "y") &amp; " years, " &amp; DATEDIF(C35, D35, "ym") &amp; " months, " &amp; DATEDIF(C35, D35, "md") &amp; " days"</f>
        <v/>
      </c>
      <c r="G35" s="39">
        <f>DATEDIF(C35,D35,"Y") + DATEDIF(C35,D35,"YM")/12 + DATEDIF(C35,D35,"MD")/30/12</f>
        <v/>
      </c>
      <c r="H35" s="34" t="n"/>
      <c r="I35" s="3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16">
        <f>SUM(H35:S35)</f>
        <v/>
      </c>
      <c r="U35" s="18" t="inlineStr">
        <is>
          <t>15 days left for the year</t>
        </is>
      </c>
      <c r="V35" s="53">
        <f>15-T35</f>
        <v/>
      </c>
      <c r="W35" s="53">
        <f>V35*8</f>
        <v/>
      </c>
      <c r="X35" s="41" t="n">
        <v>36411.04</v>
      </c>
      <c r="Y35" s="55">
        <f>IF(DATE(YEAR(D35),MONTH(C35),DAY(C35))&lt;=D35,DATE(YEAR(D35),MONTH(C35),DAY(C35)),DATE(YEAR(D35)-1,MONTH(C35),DAY(C35)))</f>
        <v/>
      </c>
      <c r="Z35" s="56">
        <f>D35-Y35+1</f>
        <v/>
      </c>
      <c r="AA35" s="57">
        <f>(Z35/365)*15</f>
        <v/>
      </c>
      <c r="AB35" s="57">
        <f>MAX(0,AA35-T35)</f>
        <v/>
      </c>
      <c r="AC35" s="58">
        <f>X35/260</f>
        <v/>
      </c>
      <c r="AD35" s="58">
        <f>AB35*AC35</f>
        <v/>
      </c>
    </row>
    <row r="37">
      <c r="AA37" s="64" t="inlineStr">
        <is>
          <t>GRAND TOTAL</t>
        </is>
      </c>
      <c r="AD37" s="65">
        <f>SUM(AD8:AD35)</f>
        <v/>
      </c>
    </row>
  </sheetData>
  <mergeCells count="1">
    <mergeCell ref="Y5:A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A. Emedo</dc:creator>
  <dcterms:created xsi:type="dcterms:W3CDTF">2026-05-28T13:53:09Z</dcterms:created>
  <dcterms:modified xsi:type="dcterms:W3CDTF">2026-05-28T14:34:07Z</dcterms:modified>
  <cp:lastModifiedBy>A. Emedo</cp:lastModifiedBy>
</cp:coreProperties>
</file>